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mai\g\007   ---   PROJECTS\16-1338\"/>
    </mc:Choice>
  </mc:AlternateContent>
  <bookViews>
    <workbookView xWindow="-45" yWindow="0" windowWidth="10590" windowHeight="9120" tabRatio="466"/>
  </bookViews>
  <sheets>
    <sheet name="Day 1" sheetId="49" r:id="rId1"/>
  </sheets>
  <definedNames>
    <definedName name="_xlnm.Print_Area" localSheetId="0">'Day 1'!$A$1:$U$61</definedName>
    <definedName name="Print_Area_MI">#REF!</definedName>
  </definedNames>
  <calcPr calcId="171027"/>
</workbook>
</file>

<file path=xl/calcChain.xml><?xml version="1.0" encoding="utf-8"?>
<calcChain xmlns="http://schemas.openxmlformats.org/spreadsheetml/2006/main">
  <c r="Y53" i="49" l="1"/>
  <c r="Y54" i="49"/>
  <c r="Y55" i="49"/>
  <c r="Y56" i="49"/>
  <c r="AC56" i="49" s="1"/>
  <c r="Y57" i="49"/>
  <c r="Y58" i="49"/>
  <c r="Y59" i="49"/>
  <c r="Y60" i="49"/>
  <c r="Y61" i="49"/>
  <c r="Y62" i="49"/>
  <c r="Y63" i="49"/>
  <c r="Y64" i="49"/>
  <c r="Y65" i="49"/>
  <c r="Y66" i="49"/>
  <c r="Y67" i="49"/>
  <c r="Y68" i="49"/>
  <c r="Y69" i="49"/>
  <c r="Y70" i="49"/>
  <c r="Y71" i="49"/>
  <c r="Y72" i="49"/>
  <c r="Y73" i="49"/>
  <c r="Y74" i="49"/>
  <c r="Y75" i="49"/>
  <c r="Y76" i="49"/>
  <c r="Y77" i="49"/>
  <c r="Y78" i="49"/>
  <c r="Y79" i="49"/>
  <c r="Y80" i="49"/>
  <c r="Y81" i="49"/>
  <c r="Y82" i="49"/>
  <c r="Y83" i="49"/>
  <c r="Y84" i="49"/>
  <c r="Y85" i="49"/>
  <c r="Y86" i="49"/>
  <c r="Y87" i="49"/>
  <c r="Y88" i="49"/>
  <c r="Y89" i="49"/>
  <c r="Y90" i="49"/>
  <c r="Y91" i="49"/>
  <c r="Y92" i="49"/>
  <c r="Y93" i="49"/>
  <c r="Y94" i="49"/>
  <c r="Y95" i="49"/>
  <c r="Y96" i="49"/>
  <c r="Y97" i="49"/>
  <c r="Y98" i="49"/>
  <c r="Y99" i="49"/>
  <c r="Y100" i="49"/>
  <c r="AD100" i="49" s="1"/>
  <c r="Y5" i="49"/>
  <c r="Y6" i="49"/>
  <c r="Y7" i="49"/>
  <c r="Y8" i="49"/>
  <c r="Z5" i="49"/>
  <c r="Z6" i="49"/>
  <c r="Z7" i="49"/>
  <c r="Z8" i="49"/>
  <c r="AA5" i="49"/>
  <c r="AA6" i="49"/>
  <c r="AA7" i="49"/>
  <c r="AA8" i="49"/>
  <c r="AB5" i="49"/>
  <c r="AB6" i="49"/>
  <c r="AB7" i="49"/>
  <c r="AB8" i="49"/>
  <c r="Y9" i="49"/>
  <c r="Z9" i="49"/>
  <c r="AA9" i="49"/>
  <c r="AH6" i="49"/>
  <c r="AB9" i="49"/>
  <c r="Y10" i="49"/>
  <c r="Z10" i="49"/>
  <c r="AA10" i="49"/>
  <c r="AC10" i="49" s="1"/>
  <c r="AB10" i="49"/>
  <c r="Y11" i="49"/>
  <c r="Z11" i="49"/>
  <c r="AA11" i="49"/>
  <c r="AC11" i="49" s="1"/>
  <c r="AB11" i="49"/>
  <c r="Y12" i="49"/>
  <c r="Z12" i="49"/>
  <c r="AA12" i="49"/>
  <c r="AC12" i="49" s="1"/>
  <c r="AB12" i="49"/>
  <c r="Y13" i="49"/>
  <c r="Z13" i="49"/>
  <c r="AA13" i="49"/>
  <c r="AC13" i="49" s="1"/>
  <c r="AB13" i="49"/>
  <c r="Y14" i="49"/>
  <c r="AD11" i="49" s="1"/>
  <c r="Z14" i="49"/>
  <c r="AA14" i="49"/>
  <c r="AC14" i="49" s="1"/>
  <c r="AB14" i="49"/>
  <c r="Y15" i="49"/>
  <c r="Z15" i="49"/>
  <c r="AA15" i="49"/>
  <c r="AC15" i="49" s="1"/>
  <c r="AB15" i="49"/>
  <c r="Y16" i="49"/>
  <c r="Z16" i="49"/>
  <c r="AF13" i="49" s="1"/>
  <c r="AA16" i="49"/>
  <c r="AC16" i="49" s="1"/>
  <c r="AB16" i="49"/>
  <c r="Y17" i="49"/>
  <c r="Z17" i="49"/>
  <c r="AA17" i="49"/>
  <c r="AC17" i="49" s="1"/>
  <c r="AB17" i="49"/>
  <c r="Y18" i="49"/>
  <c r="Z18" i="49"/>
  <c r="AA18" i="49"/>
  <c r="AB18" i="49"/>
  <c r="Y19" i="49"/>
  <c r="Z19" i="49"/>
  <c r="AA19" i="49"/>
  <c r="AC19" i="49" s="1"/>
  <c r="AB19" i="49"/>
  <c r="Y20" i="49"/>
  <c r="Z20" i="49"/>
  <c r="AA20" i="49"/>
  <c r="AB20" i="49"/>
  <c r="Y21" i="49"/>
  <c r="Z21" i="49"/>
  <c r="AA21" i="49"/>
  <c r="AC21" i="49" s="1"/>
  <c r="AB21" i="49"/>
  <c r="Y22" i="49"/>
  <c r="Z22" i="49"/>
  <c r="AA22" i="49"/>
  <c r="AB22" i="49"/>
  <c r="Y23" i="49"/>
  <c r="Z23" i="49"/>
  <c r="AA23" i="49"/>
  <c r="AB23" i="49"/>
  <c r="Y24" i="49"/>
  <c r="Z24" i="49"/>
  <c r="AA24" i="49"/>
  <c r="AC24" i="49" s="1"/>
  <c r="AB24" i="49"/>
  <c r="Y25" i="49"/>
  <c r="Z25" i="49"/>
  <c r="AA25" i="49"/>
  <c r="AB25" i="49"/>
  <c r="Y26" i="49"/>
  <c r="Z26" i="49"/>
  <c r="AA26" i="49"/>
  <c r="AB26" i="49"/>
  <c r="Y27" i="49"/>
  <c r="Z27" i="49"/>
  <c r="AA27" i="49"/>
  <c r="AB27" i="49"/>
  <c r="Y28" i="49"/>
  <c r="Z28" i="49"/>
  <c r="AA28" i="49"/>
  <c r="AB28" i="49"/>
  <c r="Y29" i="49"/>
  <c r="Z29" i="49"/>
  <c r="AA29" i="49"/>
  <c r="AB29" i="49"/>
  <c r="Y30" i="49"/>
  <c r="Z30" i="49"/>
  <c r="AA30" i="49"/>
  <c r="AB30" i="49"/>
  <c r="Y31" i="49"/>
  <c r="Z31" i="49"/>
  <c r="AA31" i="49"/>
  <c r="AB31" i="49"/>
  <c r="Y32" i="49"/>
  <c r="Z32" i="49"/>
  <c r="AA32" i="49"/>
  <c r="AB32" i="49"/>
  <c r="Y33" i="49"/>
  <c r="Z33" i="49"/>
  <c r="AA33" i="49"/>
  <c r="AB33" i="49"/>
  <c r="Y34" i="49"/>
  <c r="Z34" i="49"/>
  <c r="AA34" i="49"/>
  <c r="AB34" i="49"/>
  <c r="Y35" i="49"/>
  <c r="Z35" i="49"/>
  <c r="AA35" i="49"/>
  <c r="AB35" i="49"/>
  <c r="Y36" i="49"/>
  <c r="Z36" i="49"/>
  <c r="AA36" i="49"/>
  <c r="AB36" i="49"/>
  <c r="AJ33" i="49" s="1"/>
  <c r="Y37" i="49"/>
  <c r="Z37" i="49"/>
  <c r="AA37" i="49"/>
  <c r="AB37" i="49"/>
  <c r="Y38" i="49"/>
  <c r="Z38" i="49"/>
  <c r="AA38" i="49"/>
  <c r="AH35" i="49" s="1"/>
  <c r="AB38" i="49"/>
  <c r="Y39" i="49"/>
  <c r="Z39" i="49"/>
  <c r="AA39" i="49"/>
  <c r="AB39" i="49"/>
  <c r="Y40" i="49"/>
  <c r="Z40" i="49"/>
  <c r="AA40" i="49"/>
  <c r="AB40" i="49"/>
  <c r="Y41" i="49"/>
  <c r="Z41" i="49"/>
  <c r="AA41" i="49"/>
  <c r="AB41" i="49"/>
  <c r="Y42" i="49"/>
  <c r="Z42" i="49"/>
  <c r="AA42" i="49"/>
  <c r="AB42" i="49"/>
  <c r="Y43" i="49"/>
  <c r="Z43" i="49"/>
  <c r="AA43" i="49"/>
  <c r="AB43" i="49"/>
  <c r="Y44" i="49"/>
  <c r="Z44" i="49"/>
  <c r="AF41" i="49" s="1"/>
  <c r="AA44" i="49"/>
  <c r="AB44" i="49"/>
  <c r="Y45" i="49"/>
  <c r="Z45" i="49"/>
  <c r="AA45" i="49"/>
  <c r="AB45" i="49"/>
  <c r="Y46" i="49"/>
  <c r="Z46" i="49"/>
  <c r="AA46" i="49"/>
  <c r="AB46" i="49"/>
  <c r="Y47" i="49"/>
  <c r="Z47" i="49"/>
  <c r="AA47" i="49"/>
  <c r="AB47" i="49"/>
  <c r="Y48" i="49"/>
  <c r="Z48" i="49"/>
  <c r="AA48" i="49"/>
  <c r="AB48" i="49"/>
  <c r="Y49" i="49"/>
  <c r="Z49" i="49"/>
  <c r="AA49" i="49"/>
  <c r="AB49" i="49"/>
  <c r="Y50" i="49"/>
  <c r="Z50" i="49"/>
  <c r="AA50" i="49"/>
  <c r="AB50" i="49"/>
  <c r="Y51" i="49"/>
  <c r="Z51" i="49"/>
  <c r="AF48" i="49" s="1"/>
  <c r="AA51" i="49"/>
  <c r="AB51" i="49"/>
  <c r="Y52" i="49"/>
  <c r="Z52" i="49"/>
  <c r="AA52" i="49"/>
  <c r="AB52" i="49"/>
  <c r="Z53" i="49"/>
  <c r="AA53" i="49"/>
  <c r="AB53" i="49"/>
  <c r="Z54" i="49"/>
  <c r="AA54" i="49"/>
  <c r="AB54" i="49"/>
  <c r="Z55" i="49"/>
  <c r="AA55" i="49"/>
  <c r="AB55" i="49"/>
  <c r="X11" i="49"/>
  <c r="X5" i="49"/>
  <c r="X52" i="49"/>
  <c r="X51" i="49"/>
  <c r="AC5" i="49"/>
  <c r="AC8" i="49"/>
  <c r="Z56" i="49"/>
  <c r="AA56" i="49"/>
  <c r="AB56" i="49"/>
  <c r="Z57" i="49"/>
  <c r="AA57" i="49"/>
  <c r="AB57" i="49"/>
  <c r="Z58" i="49"/>
  <c r="AA58" i="49"/>
  <c r="AH55" i="49" s="1"/>
  <c r="AB58" i="49"/>
  <c r="Z59" i="49"/>
  <c r="AA59" i="49"/>
  <c r="AB59" i="49"/>
  <c r="Z60" i="49"/>
  <c r="AA60" i="49"/>
  <c r="AB60" i="49"/>
  <c r="Z61" i="49"/>
  <c r="AA61" i="49"/>
  <c r="AB61" i="49"/>
  <c r="Z62" i="49"/>
  <c r="AA62" i="49"/>
  <c r="AB62" i="49"/>
  <c r="Z63" i="49"/>
  <c r="AA63" i="49"/>
  <c r="AB63" i="49"/>
  <c r="Z64" i="49"/>
  <c r="AA64" i="49"/>
  <c r="AB64" i="49"/>
  <c r="Z65" i="49"/>
  <c r="AA65" i="49"/>
  <c r="AB65" i="49"/>
  <c r="Z66" i="49"/>
  <c r="AA66" i="49"/>
  <c r="AB66" i="49"/>
  <c r="Z67" i="49"/>
  <c r="AA67" i="49"/>
  <c r="AB67" i="49"/>
  <c r="Z68" i="49"/>
  <c r="AA68" i="49"/>
  <c r="AB68" i="49"/>
  <c r="Z69" i="49"/>
  <c r="AA69" i="49"/>
  <c r="AB69" i="49"/>
  <c r="Z70" i="49"/>
  <c r="AA70" i="49"/>
  <c r="AB70" i="49"/>
  <c r="Z71" i="49"/>
  <c r="AA71" i="49"/>
  <c r="AB71" i="49"/>
  <c r="Z72" i="49"/>
  <c r="AA72" i="49"/>
  <c r="AB72" i="49"/>
  <c r="Z73" i="49"/>
  <c r="AA73" i="49"/>
  <c r="AB73" i="49"/>
  <c r="Z74" i="49"/>
  <c r="AA74" i="49"/>
  <c r="AB74" i="49"/>
  <c r="Z75" i="49"/>
  <c r="AA75" i="49"/>
  <c r="AB75" i="49"/>
  <c r="Z76" i="49"/>
  <c r="AA76" i="49"/>
  <c r="AB76" i="49"/>
  <c r="Z77" i="49"/>
  <c r="AA77" i="49"/>
  <c r="AB77" i="49"/>
  <c r="Z78" i="49"/>
  <c r="AA78" i="49"/>
  <c r="AB78" i="49"/>
  <c r="Z79" i="49"/>
  <c r="AA79" i="49"/>
  <c r="AB79" i="49"/>
  <c r="Z80" i="49"/>
  <c r="AA80" i="49"/>
  <c r="AB80" i="49"/>
  <c r="Z81" i="49"/>
  <c r="AA81" i="49"/>
  <c r="AB81" i="49"/>
  <c r="Z82" i="49"/>
  <c r="AA82" i="49"/>
  <c r="AB82" i="49"/>
  <c r="Z83" i="49"/>
  <c r="AA83" i="49"/>
  <c r="AB83" i="49"/>
  <c r="Z84" i="49"/>
  <c r="AA84" i="49"/>
  <c r="AB84" i="49"/>
  <c r="Z85" i="49"/>
  <c r="AA85" i="49"/>
  <c r="AB85" i="49"/>
  <c r="Z86" i="49"/>
  <c r="AA86" i="49"/>
  <c r="AB86" i="49"/>
  <c r="Z87" i="49"/>
  <c r="AA87" i="49"/>
  <c r="AB87" i="49"/>
  <c r="Z88" i="49"/>
  <c r="AA88" i="49"/>
  <c r="AB88" i="49"/>
  <c r="Z89" i="49"/>
  <c r="AA89" i="49"/>
  <c r="AB89" i="49"/>
  <c r="Z90" i="49"/>
  <c r="AA90" i="49"/>
  <c r="AB90" i="49"/>
  <c r="Z91" i="49"/>
  <c r="AA91" i="49"/>
  <c r="AB91" i="49"/>
  <c r="Z92" i="49"/>
  <c r="AA92" i="49"/>
  <c r="AB92" i="49"/>
  <c r="Z93" i="49"/>
  <c r="AA93" i="49"/>
  <c r="AB93" i="49"/>
  <c r="Z94" i="49"/>
  <c r="AA94" i="49"/>
  <c r="AB94" i="49"/>
  <c r="Z95" i="49"/>
  <c r="AA95" i="49"/>
  <c r="AB95" i="49"/>
  <c r="Z96" i="49"/>
  <c r="AA96" i="49"/>
  <c r="AB96" i="49"/>
  <c r="Z97" i="49"/>
  <c r="AA97" i="49"/>
  <c r="AB97" i="49"/>
  <c r="Z98" i="49"/>
  <c r="AA98" i="49"/>
  <c r="AB98" i="49"/>
  <c r="Z99" i="49"/>
  <c r="AA99" i="49"/>
  <c r="AB99" i="49"/>
  <c r="Z100" i="49"/>
  <c r="AF100" i="49" s="1"/>
  <c r="AA100" i="49"/>
  <c r="AB100" i="49"/>
  <c r="AJ100" i="49" s="1"/>
  <c r="AC9" i="49"/>
  <c r="P8" i="49"/>
  <c r="P12" i="49"/>
  <c r="P16" i="49"/>
  <c r="P20" i="49"/>
  <c r="P24" i="49"/>
  <c r="P28" i="49"/>
  <c r="P32" i="49"/>
  <c r="P36" i="49"/>
  <c r="P40" i="49"/>
  <c r="P44" i="49"/>
  <c r="P48" i="49"/>
  <c r="P52" i="49"/>
  <c r="R8" i="49"/>
  <c r="T8" i="49"/>
  <c r="N8" i="49"/>
  <c r="N12" i="49"/>
  <c r="R12" i="49"/>
  <c r="T12" i="49"/>
  <c r="N16" i="49"/>
  <c r="R16" i="49"/>
  <c r="T16" i="49"/>
  <c r="N20" i="49"/>
  <c r="R20" i="49"/>
  <c r="T20" i="49"/>
  <c r="N24" i="49"/>
  <c r="R24" i="49"/>
  <c r="T24" i="49"/>
  <c r="N28" i="49"/>
  <c r="R28" i="49"/>
  <c r="T28" i="49"/>
  <c r="N32" i="49"/>
  <c r="R32" i="49"/>
  <c r="T32" i="49"/>
  <c r="N36" i="49"/>
  <c r="R36" i="49"/>
  <c r="T36" i="49"/>
  <c r="N40" i="49"/>
  <c r="R40" i="49"/>
  <c r="T40" i="49"/>
  <c r="N44" i="49"/>
  <c r="R44" i="49"/>
  <c r="T44" i="49"/>
  <c r="N48" i="49"/>
  <c r="R48" i="49"/>
  <c r="T48" i="49"/>
  <c r="N52" i="49"/>
  <c r="R52" i="49"/>
  <c r="T52" i="49"/>
  <c r="E8" i="49"/>
  <c r="E12" i="49"/>
  <c r="E16" i="49"/>
  <c r="E20" i="49"/>
  <c r="E24" i="49"/>
  <c r="E28" i="49"/>
  <c r="E32" i="49"/>
  <c r="E36" i="49"/>
  <c r="E40" i="49"/>
  <c r="E44" i="49"/>
  <c r="E48" i="49"/>
  <c r="E52" i="49"/>
  <c r="G8" i="49"/>
  <c r="I8" i="49"/>
  <c r="C8" i="49"/>
  <c r="C12" i="49"/>
  <c r="G12" i="49"/>
  <c r="I12" i="49"/>
  <c r="C16" i="49"/>
  <c r="G16" i="49"/>
  <c r="I16" i="49"/>
  <c r="C20" i="49"/>
  <c r="G20" i="49"/>
  <c r="I20" i="49"/>
  <c r="C24" i="49"/>
  <c r="G24" i="49"/>
  <c r="I24" i="49"/>
  <c r="C28" i="49"/>
  <c r="G28" i="49"/>
  <c r="I28" i="49"/>
  <c r="C32" i="49"/>
  <c r="G32" i="49"/>
  <c r="I32" i="49"/>
  <c r="C36" i="49"/>
  <c r="G36" i="49"/>
  <c r="I36" i="49"/>
  <c r="C40" i="49"/>
  <c r="G40" i="49"/>
  <c r="I40" i="49"/>
  <c r="C44" i="49"/>
  <c r="G44" i="49"/>
  <c r="I44" i="49"/>
  <c r="C48" i="49"/>
  <c r="G48" i="49"/>
  <c r="I48" i="49"/>
  <c r="C52" i="49"/>
  <c r="G52" i="49"/>
  <c r="I52" i="49"/>
  <c r="X31" i="49"/>
  <c r="X30" i="49"/>
  <c r="X100" i="49"/>
  <c r="X67" i="49"/>
  <c r="X64" i="49"/>
  <c r="X74" i="49"/>
  <c r="X71" i="49"/>
  <c r="X53" i="49"/>
  <c r="X29" i="49"/>
  <c r="X34" i="49"/>
  <c r="X35" i="49"/>
  <c r="X6" i="49"/>
  <c r="X75" i="49"/>
  <c r="X72" i="49"/>
  <c r="X54" i="49"/>
  <c r="X55" i="49"/>
  <c r="X56" i="49"/>
  <c r="X57" i="49"/>
  <c r="X58" i="49"/>
  <c r="X59" i="49"/>
  <c r="X60" i="49"/>
  <c r="X61" i="49"/>
  <c r="X62" i="49"/>
  <c r="X63" i="49"/>
  <c r="X65" i="49"/>
  <c r="X66" i="49"/>
  <c r="X68" i="49"/>
  <c r="X69" i="49"/>
  <c r="X70" i="49"/>
  <c r="X73" i="49"/>
  <c r="X76" i="49"/>
  <c r="X77" i="49"/>
  <c r="X78" i="49"/>
  <c r="X79" i="49"/>
  <c r="X80" i="49"/>
  <c r="X81" i="49"/>
  <c r="X82" i="49"/>
  <c r="X83" i="49"/>
  <c r="X84" i="49"/>
  <c r="X85" i="49"/>
  <c r="X86" i="49"/>
  <c r="X87" i="49"/>
  <c r="X88" i="49"/>
  <c r="X89" i="49"/>
  <c r="X90" i="49"/>
  <c r="X91" i="49"/>
  <c r="X92" i="49"/>
  <c r="X93" i="49"/>
  <c r="X94" i="49"/>
  <c r="X95" i="49"/>
  <c r="X96" i="49"/>
  <c r="X97" i="49"/>
  <c r="X98" i="49"/>
  <c r="X99" i="49"/>
  <c r="X7" i="49"/>
  <c r="X8" i="49"/>
  <c r="X9" i="49"/>
  <c r="X10" i="49"/>
  <c r="X12" i="49"/>
  <c r="X13" i="49"/>
  <c r="X14" i="49"/>
  <c r="X15" i="49"/>
  <c r="X16" i="49"/>
  <c r="X17" i="49"/>
  <c r="X18" i="49"/>
  <c r="X19" i="49"/>
  <c r="X20" i="49"/>
  <c r="X21" i="49"/>
  <c r="X22" i="49"/>
  <c r="X23" i="49"/>
  <c r="X24" i="49"/>
  <c r="X25" i="49"/>
  <c r="X26" i="49"/>
  <c r="X27" i="49"/>
  <c r="X28" i="49"/>
  <c r="X32" i="49"/>
  <c r="X33" i="49"/>
  <c r="X36" i="49"/>
  <c r="X37" i="49"/>
  <c r="X38" i="49"/>
  <c r="X39" i="49"/>
  <c r="X40" i="49"/>
  <c r="X41" i="49"/>
  <c r="X42" i="49"/>
  <c r="X43" i="49"/>
  <c r="X44" i="49"/>
  <c r="X45" i="49"/>
  <c r="X46" i="49"/>
  <c r="X47" i="49"/>
  <c r="X48" i="49"/>
  <c r="X49" i="49"/>
  <c r="X50" i="49"/>
  <c r="AD52" i="49" l="1"/>
  <c r="I53" i="49"/>
  <c r="AC7" i="49"/>
  <c r="AJ24" i="49"/>
  <c r="AJ16" i="49"/>
  <c r="AD98" i="49"/>
  <c r="AC53" i="49"/>
  <c r="AF50" i="49"/>
  <c r="AC41" i="49"/>
  <c r="AC22" i="49"/>
  <c r="AC20" i="49"/>
  <c r="AC18" i="49"/>
  <c r="AC63" i="49"/>
  <c r="AC27" i="49"/>
  <c r="AC23" i="49"/>
  <c r="AC6" i="49"/>
  <c r="AD54" i="49"/>
  <c r="AJ88" i="49"/>
  <c r="AJ84" i="49"/>
  <c r="AJ8" i="49"/>
  <c r="AJ21" i="49"/>
  <c r="AJ17" i="49"/>
  <c r="AD19" i="49"/>
  <c r="AJ85" i="49"/>
  <c r="AJ81" i="49"/>
  <c r="AC79" i="49"/>
  <c r="AC71" i="49"/>
  <c r="AJ64" i="49"/>
  <c r="AF18" i="49"/>
  <c r="AD84" i="49"/>
  <c r="AH30" i="49"/>
  <c r="AD38" i="49"/>
  <c r="AD70" i="49"/>
  <c r="AD90" i="49"/>
  <c r="AD76" i="49"/>
  <c r="AD68" i="49"/>
  <c r="AD60" i="49"/>
  <c r="AD53" i="49"/>
  <c r="AD32" i="49"/>
  <c r="AD5" i="49"/>
  <c r="AD39" i="49"/>
  <c r="AF92" i="49"/>
  <c r="AF60" i="49"/>
  <c r="AF57" i="49"/>
  <c r="AF80" i="49"/>
  <c r="AF76" i="49"/>
  <c r="AF69" i="49"/>
  <c r="AF68" i="49"/>
  <c r="AH90" i="49"/>
  <c r="AH86" i="49"/>
  <c r="AH75" i="49"/>
  <c r="AH71" i="49"/>
  <c r="AH54" i="49"/>
  <c r="AH5" i="49"/>
  <c r="P53" i="49"/>
  <c r="AC72" i="49"/>
  <c r="AF89" i="49"/>
  <c r="AF85" i="49"/>
  <c r="AC64" i="49"/>
  <c r="AD99" i="49"/>
  <c r="AD78" i="49"/>
  <c r="AD92" i="49"/>
  <c r="AD62" i="49"/>
  <c r="AF21" i="49"/>
  <c r="AC46" i="49"/>
  <c r="AD30" i="49"/>
  <c r="AD26" i="49"/>
  <c r="AC25" i="49"/>
  <c r="U40" i="49"/>
  <c r="N53" i="49"/>
  <c r="AD96" i="49"/>
  <c r="AD82" i="49"/>
  <c r="AD66" i="49"/>
  <c r="AD91" i="49"/>
  <c r="AD77" i="49"/>
  <c r="AD61" i="49"/>
  <c r="AL61" i="49" s="1"/>
  <c r="AD88" i="49"/>
  <c r="AD74" i="49"/>
  <c r="AD58" i="49"/>
  <c r="U24" i="49"/>
  <c r="U48" i="49"/>
  <c r="AF97" i="49"/>
  <c r="AF77" i="49"/>
  <c r="AF96" i="49"/>
  <c r="AF73" i="49"/>
  <c r="AF64" i="49"/>
  <c r="AF99" i="49"/>
  <c r="AF67" i="49"/>
  <c r="U32" i="49"/>
  <c r="U16" i="49"/>
  <c r="AC95" i="49"/>
  <c r="AF81" i="49"/>
  <c r="AF79" i="49"/>
  <c r="AF65" i="49"/>
  <c r="AF61" i="49"/>
  <c r="AF53" i="49"/>
  <c r="AC48" i="49"/>
  <c r="AD36" i="49"/>
  <c r="AD34" i="49"/>
  <c r="AD22" i="49"/>
  <c r="AD6" i="49"/>
  <c r="AD43" i="49"/>
  <c r="AD15" i="49"/>
  <c r="AD10" i="49"/>
  <c r="AD46" i="49"/>
  <c r="AD42" i="49"/>
  <c r="AD14" i="49"/>
  <c r="AD47" i="49"/>
  <c r="AC44" i="49"/>
  <c r="AC43" i="49"/>
  <c r="E53" i="49"/>
  <c r="J48" i="49"/>
  <c r="J32" i="49"/>
  <c r="AF40" i="49"/>
  <c r="AC36" i="49"/>
  <c r="AC35" i="49"/>
  <c r="AF16" i="49"/>
  <c r="AF52" i="49"/>
  <c r="AF28" i="49"/>
  <c r="AF20" i="49"/>
  <c r="AF6" i="49"/>
  <c r="AF12" i="49"/>
  <c r="AF7" i="49"/>
  <c r="AF37" i="49"/>
  <c r="AF34" i="49"/>
  <c r="AL34" i="49" s="1"/>
  <c r="U52" i="49"/>
  <c r="U36" i="49"/>
  <c r="U20" i="49"/>
  <c r="AC88" i="49"/>
  <c r="AJ99" i="49"/>
  <c r="AJ73" i="49"/>
  <c r="AJ72" i="49"/>
  <c r="AJ93" i="49"/>
  <c r="AJ60" i="49"/>
  <c r="AJ52" i="49"/>
  <c r="U44" i="49"/>
  <c r="U28" i="49"/>
  <c r="U12" i="49"/>
  <c r="AJ69" i="49"/>
  <c r="AC68" i="49"/>
  <c r="T53" i="49"/>
  <c r="T56" i="49" s="1"/>
  <c r="AJ96" i="49"/>
  <c r="AJ61" i="49"/>
  <c r="R53" i="49"/>
  <c r="AH98" i="49"/>
  <c r="AH63" i="49"/>
  <c r="AC87" i="49"/>
  <c r="AH87" i="49"/>
  <c r="AJ51" i="49"/>
  <c r="AJ44" i="49"/>
  <c r="AJ32" i="49"/>
  <c r="AJ22" i="49"/>
  <c r="AJ50" i="49"/>
  <c r="AJ49" i="49"/>
  <c r="AJ36" i="49"/>
  <c r="J44" i="49"/>
  <c r="J28" i="49"/>
  <c r="J12" i="49"/>
  <c r="AH47" i="49"/>
  <c r="AC45" i="49"/>
  <c r="AC26" i="49"/>
  <c r="G53" i="49"/>
  <c r="AH22" i="49"/>
  <c r="AH42" i="49"/>
  <c r="AH18" i="49"/>
  <c r="J16" i="49"/>
  <c r="AH15" i="49"/>
  <c r="AH52" i="49"/>
  <c r="AH82" i="49"/>
  <c r="AH95" i="49"/>
  <c r="AH91" i="49"/>
  <c r="AH58" i="49"/>
  <c r="AH70" i="49"/>
  <c r="AH33" i="49"/>
  <c r="AH26" i="49"/>
  <c r="AH17" i="49"/>
  <c r="AH43" i="49"/>
  <c r="AH23" i="49"/>
  <c r="J24" i="49"/>
  <c r="AC42" i="49"/>
  <c r="AH19" i="49"/>
  <c r="AH14" i="49"/>
  <c r="AH11" i="49"/>
  <c r="AH9" i="49"/>
  <c r="U8" i="49"/>
  <c r="AC92" i="49"/>
  <c r="AJ68" i="49"/>
  <c r="AJ57" i="49"/>
  <c r="AJ53" i="49"/>
  <c r="AJ92" i="49"/>
  <c r="AJ89" i="49"/>
  <c r="AJ80" i="49"/>
  <c r="AJ65" i="49"/>
  <c r="AC96" i="49"/>
  <c r="AC80" i="49"/>
  <c r="AJ98" i="49"/>
  <c r="AC83" i="49"/>
  <c r="AJ76" i="49"/>
  <c r="AJ77" i="49"/>
  <c r="AC60" i="49"/>
  <c r="AJ97" i="49"/>
  <c r="AJ59" i="49"/>
  <c r="AJ56" i="49"/>
  <c r="J8" i="49"/>
  <c r="AJ45" i="49"/>
  <c r="AJ29" i="49"/>
  <c r="J52" i="49"/>
  <c r="J36" i="49"/>
  <c r="AJ41" i="49"/>
  <c r="J40" i="49"/>
  <c r="P56" i="49"/>
  <c r="J20" i="49"/>
  <c r="AC100" i="49"/>
  <c r="AC84" i="49"/>
  <c r="AC76" i="49"/>
  <c r="AH94" i="49"/>
  <c r="AF95" i="49"/>
  <c r="AF94" i="49"/>
  <c r="AH89" i="49"/>
  <c r="AH88" i="49"/>
  <c r="AJ87" i="49"/>
  <c r="AH83" i="49"/>
  <c r="AF83" i="49"/>
  <c r="AF82" i="49"/>
  <c r="AH77" i="49"/>
  <c r="AH76" i="49"/>
  <c r="AJ75" i="49"/>
  <c r="AF71" i="49"/>
  <c r="AF70" i="49"/>
  <c r="AH65" i="49"/>
  <c r="AH64" i="49"/>
  <c r="AJ63" i="49"/>
  <c r="AJ62" i="49"/>
  <c r="AF56" i="49"/>
  <c r="AH57" i="49"/>
  <c r="AH53" i="49"/>
  <c r="AC29" i="49"/>
  <c r="AC47" i="49"/>
  <c r="AJ55" i="49"/>
  <c r="AC55" i="49"/>
  <c r="AJ48" i="49"/>
  <c r="AH49" i="49"/>
  <c r="AF45" i="49"/>
  <c r="AH44" i="49"/>
  <c r="AH39" i="49"/>
  <c r="AH38" i="49"/>
  <c r="AD40" i="49"/>
  <c r="AJ38" i="49"/>
  <c r="AC39" i="49"/>
  <c r="AD35" i="49"/>
  <c r="AC37" i="49"/>
  <c r="AJ34" i="49"/>
  <c r="AH32" i="49"/>
  <c r="AH27" i="49"/>
  <c r="AD28" i="49"/>
  <c r="AC28" i="49"/>
  <c r="AD23" i="49"/>
  <c r="AJ23" i="49"/>
  <c r="AD21" i="49"/>
  <c r="AJ18" i="49"/>
  <c r="AD16" i="49"/>
  <c r="AJ10" i="49"/>
  <c r="AJ5" i="49"/>
  <c r="AD94" i="49"/>
  <c r="AD95" i="49"/>
  <c r="AD86" i="49"/>
  <c r="AD80" i="49"/>
  <c r="AD81" i="49"/>
  <c r="AD72" i="49"/>
  <c r="AD73" i="49"/>
  <c r="AD64" i="49"/>
  <c r="AD65" i="49"/>
  <c r="AD56" i="49"/>
  <c r="AD57" i="49"/>
  <c r="AH93" i="49"/>
  <c r="AH92" i="49"/>
  <c r="AJ91" i="49"/>
  <c r="AJ86" i="49"/>
  <c r="AH81" i="49"/>
  <c r="AH80" i="49"/>
  <c r="AJ79" i="49"/>
  <c r="AJ78" i="49"/>
  <c r="AJ74" i="49"/>
  <c r="AH69" i="49"/>
  <c r="AH68" i="49"/>
  <c r="AJ67" i="49"/>
  <c r="AJ66" i="49"/>
  <c r="AF63" i="49"/>
  <c r="AF62" i="49"/>
  <c r="AJ54" i="49"/>
  <c r="AD49" i="49"/>
  <c r="AC49" i="49"/>
  <c r="AJ46" i="49"/>
  <c r="AD44" i="49"/>
  <c r="AF38" i="49"/>
  <c r="AH36" i="49"/>
  <c r="AC32" i="49"/>
  <c r="AJ26" i="49"/>
  <c r="AH24" i="49"/>
  <c r="AF23" i="49"/>
  <c r="AH20" i="49"/>
  <c r="AJ11" i="49"/>
  <c r="AF10" i="49"/>
  <c r="AD93" i="49"/>
  <c r="AD79" i="49"/>
  <c r="AD71" i="49"/>
  <c r="AD63" i="49"/>
  <c r="AF98" i="49"/>
  <c r="AF93" i="49"/>
  <c r="AJ90" i="49"/>
  <c r="AF87" i="49"/>
  <c r="AF86" i="49"/>
  <c r="AH79" i="49"/>
  <c r="AL79" i="49" s="1"/>
  <c r="AH78" i="49"/>
  <c r="AF78" i="49"/>
  <c r="AF75" i="49"/>
  <c r="AF74" i="49"/>
  <c r="AH67" i="49"/>
  <c r="AH66" i="49"/>
  <c r="AF66" i="49"/>
  <c r="AH61" i="49"/>
  <c r="AH60" i="49"/>
  <c r="AJ58" i="49"/>
  <c r="AH51" i="49"/>
  <c r="AH48" i="49"/>
  <c r="AF46" i="49"/>
  <c r="AH45" i="49"/>
  <c r="AJ42" i="49"/>
  <c r="AJ39" i="49"/>
  <c r="AF36" i="49"/>
  <c r="AH34" i="49"/>
  <c r="AF32" i="49"/>
  <c r="AH31" i="49"/>
  <c r="AJ30" i="49"/>
  <c r="AC31" i="49"/>
  <c r="AC30" i="49"/>
  <c r="AJ27" i="49"/>
  <c r="AF26" i="49"/>
  <c r="AL26" i="49" s="1"/>
  <c r="AH25" i="49"/>
  <c r="AD24" i="49"/>
  <c r="AD20" i="49"/>
  <c r="AD17" i="49"/>
  <c r="AJ14" i="49"/>
  <c r="AH12" i="49"/>
  <c r="AJ9" i="49"/>
  <c r="AF8" i="49"/>
  <c r="AH7" i="49"/>
  <c r="AD85" i="49"/>
  <c r="AD69" i="49"/>
  <c r="AL69" i="49" s="1"/>
  <c r="AD55" i="49"/>
  <c r="C53" i="49"/>
  <c r="AC99" i="49"/>
  <c r="AC91" i="49"/>
  <c r="AC75" i="49"/>
  <c r="AC67" i="49"/>
  <c r="AC59" i="49"/>
  <c r="AH97" i="49"/>
  <c r="AH96" i="49"/>
  <c r="AJ95" i="49"/>
  <c r="AJ94" i="49"/>
  <c r="AF91" i="49"/>
  <c r="AF90" i="49"/>
  <c r="AH85" i="49"/>
  <c r="AH84" i="49"/>
  <c r="AJ83" i="49"/>
  <c r="AJ82" i="49"/>
  <c r="AH73" i="49"/>
  <c r="AH72" i="49"/>
  <c r="AJ71" i="49"/>
  <c r="AJ70" i="49"/>
  <c r="AH59" i="49"/>
  <c r="AF59" i="49"/>
  <c r="AF58" i="49"/>
  <c r="AC50" i="49"/>
  <c r="AC51" i="49"/>
  <c r="AC52" i="49"/>
  <c r="AC54" i="49"/>
  <c r="AF49" i="49"/>
  <c r="AD51" i="49"/>
  <c r="AH46" i="49"/>
  <c r="AD48" i="49"/>
  <c r="AL48" i="49" s="1"/>
  <c r="AF44" i="49"/>
  <c r="AD45" i="49"/>
  <c r="AJ43" i="49"/>
  <c r="AJ40" i="49"/>
  <c r="AF42" i="49"/>
  <c r="AH40" i="49"/>
  <c r="AJ37" i="49"/>
  <c r="AF39" i="49"/>
  <c r="AL39" i="49" s="1"/>
  <c r="AF33" i="49"/>
  <c r="AC34" i="49"/>
  <c r="AC33" i="49"/>
  <c r="AJ31" i="49"/>
  <c r="AJ28" i="49"/>
  <c r="AF30" i="49"/>
  <c r="AH28" i="49"/>
  <c r="AJ25" i="49"/>
  <c r="AF24" i="49"/>
  <c r="AJ20" i="49"/>
  <c r="AF22" i="49"/>
  <c r="AH21" i="49"/>
  <c r="AD18" i="49"/>
  <c r="AF17" i="49"/>
  <c r="AH16" i="49"/>
  <c r="AJ13" i="49"/>
  <c r="AJ12" i="49"/>
  <c r="AF14" i="49"/>
  <c r="AH13" i="49"/>
  <c r="AH10" i="49"/>
  <c r="AD12" i="49"/>
  <c r="AF9" i="49"/>
  <c r="AD7" i="49"/>
  <c r="AJ6" i="49"/>
  <c r="AL6" i="49" s="1"/>
  <c r="AH8" i="49"/>
  <c r="AD8" i="49"/>
  <c r="AD97" i="49"/>
  <c r="AD89" i="49"/>
  <c r="AD83" i="49"/>
  <c r="AD75" i="49"/>
  <c r="AD67" i="49"/>
  <c r="AD59" i="49"/>
  <c r="AC98" i="49"/>
  <c r="AC94" i="49"/>
  <c r="AC90" i="49"/>
  <c r="AC86" i="49"/>
  <c r="AC82" i="49"/>
  <c r="AC78" i="49"/>
  <c r="AC74" i="49"/>
  <c r="AC70" i="49"/>
  <c r="AC66" i="49"/>
  <c r="AC62" i="49"/>
  <c r="AC58" i="49"/>
  <c r="AH100" i="49"/>
  <c r="AL100" i="49" s="1"/>
  <c r="AH99" i="49"/>
  <c r="AL99" i="49" s="1"/>
  <c r="AH56" i="49"/>
  <c r="AF54" i="49"/>
  <c r="AC40" i="49"/>
  <c r="AC38" i="49"/>
  <c r="AH50" i="49"/>
  <c r="AD50" i="49"/>
  <c r="AJ47" i="49"/>
  <c r="AF47" i="49"/>
  <c r="AF43" i="49"/>
  <c r="AH41" i="49"/>
  <c r="AD41" i="49"/>
  <c r="AH37" i="49"/>
  <c r="AD37" i="49"/>
  <c r="AJ35" i="49"/>
  <c r="AF35" i="49"/>
  <c r="AD33" i="49"/>
  <c r="AF31" i="49"/>
  <c r="AH29" i="49"/>
  <c r="AD29" i="49"/>
  <c r="AF27" i="49"/>
  <c r="AD25" i="49"/>
  <c r="AJ19" i="49"/>
  <c r="AF19" i="49"/>
  <c r="AJ15" i="49"/>
  <c r="AF15" i="49"/>
  <c r="AD13" i="49"/>
  <c r="AF11" i="49"/>
  <c r="AD9" i="49"/>
  <c r="AJ7" i="49"/>
  <c r="AF5" i="49"/>
  <c r="AD87" i="49"/>
  <c r="AF88" i="49"/>
  <c r="AL88" i="49" s="1"/>
  <c r="AF84" i="49"/>
  <c r="AH74" i="49"/>
  <c r="AF72" i="49"/>
  <c r="AH62" i="49"/>
  <c r="AL62" i="49" s="1"/>
  <c r="AF51" i="49"/>
  <c r="AD31" i="49"/>
  <c r="AF29" i="49"/>
  <c r="AD27" i="49"/>
  <c r="AF25" i="49"/>
  <c r="AC97" i="49"/>
  <c r="AC93" i="49"/>
  <c r="AC89" i="49"/>
  <c r="AC85" i="49"/>
  <c r="AC81" i="49"/>
  <c r="AC77" i="49"/>
  <c r="AC73" i="49"/>
  <c r="AC69" i="49"/>
  <c r="AC65" i="49"/>
  <c r="AC61" i="49"/>
  <c r="AC57" i="49"/>
  <c r="AF55" i="49"/>
  <c r="AL22" i="49" l="1"/>
  <c r="AL82" i="49"/>
  <c r="AL76" i="49"/>
  <c r="AL77" i="49"/>
  <c r="AL72" i="49"/>
  <c r="AL32" i="49"/>
  <c r="AL87" i="49"/>
  <c r="AL18" i="49"/>
  <c r="AL42" i="49"/>
  <c r="AL90" i="49"/>
  <c r="AL96" i="49"/>
  <c r="AL36" i="49"/>
  <c r="AL60" i="49"/>
  <c r="AK86" i="49"/>
  <c r="R56" i="49"/>
  <c r="AL65" i="49"/>
  <c r="AL97" i="49"/>
  <c r="AL53" i="49"/>
  <c r="AL91" i="49"/>
  <c r="AL11" i="49"/>
  <c r="AL94" i="49"/>
  <c r="AL85" i="49"/>
  <c r="AL98" i="49"/>
  <c r="AL92" i="49"/>
  <c r="AL84" i="49"/>
  <c r="AL43" i="49"/>
  <c r="AL56" i="49"/>
  <c r="AL14" i="49"/>
  <c r="AL17" i="49"/>
  <c r="AL73" i="49"/>
  <c r="N56" i="49"/>
  <c r="AL95" i="49"/>
  <c r="AL89" i="49"/>
  <c r="AL16" i="49"/>
  <c r="AL52" i="49"/>
  <c r="AL27" i="49"/>
  <c r="AL83" i="49"/>
  <c r="AL74" i="49"/>
  <c r="AL55" i="49"/>
  <c r="AL28" i="49"/>
  <c r="AL86" i="49"/>
  <c r="AL23" i="49"/>
  <c r="AL58" i="49"/>
  <c r="AL21" i="49"/>
  <c r="AL93" i="49"/>
  <c r="AL81" i="49"/>
  <c r="AL67" i="49"/>
  <c r="AL57" i="49"/>
  <c r="AL68" i="49"/>
  <c r="AL64" i="49"/>
  <c r="AL38" i="49"/>
  <c r="AL59" i="49"/>
  <c r="AL51" i="49"/>
  <c r="AL71" i="49"/>
  <c r="U53" i="49"/>
  <c r="P58" i="49" s="1"/>
  <c r="AL75" i="49"/>
  <c r="AL63" i="49"/>
  <c r="AL80" i="49"/>
  <c r="T58" i="49"/>
  <c r="AL70" i="49"/>
  <c r="AL12" i="49"/>
  <c r="AL8" i="49"/>
  <c r="AL9" i="49"/>
  <c r="AL33" i="49"/>
  <c r="AL45" i="49"/>
  <c r="AL66" i="49"/>
  <c r="AL31" i="49"/>
  <c r="AL13" i="49"/>
  <c r="AL40" i="49"/>
  <c r="AL46" i="49"/>
  <c r="AL20" i="49"/>
  <c r="AL24" i="49"/>
  <c r="R58" i="49"/>
  <c r="AL37" i="49"/>
  <c r="AL41" i="49"/>
  <c r="AL10" i="49"/>
  <c r="AL15" i="49"/>
  <c r="AL19" i="49"/>
  <c r="AL35" i="49"/>
  <c r="AL30" i="49"/>
  <c r="J53" i="49"/>
  <c r="AK6" i="49"/>
  <c r="AK8" i="49" s="1"/>
  <c r="AL44" i="49"/>
  <c r="AI6" i="49"/>
  <c r="AI8" i="49" s="1"/>
  <c r="AL50" i="49"/>
  <c r="AL78" i="49"/>
  <c r="AL49" i="49"/>
  <c r="AL25" i="49"/>
  <c r="AE86" i="49"/>
  <c r="AI86" i="49"/>
  <c r="AL54" i="49"/>
  <c r="AG86" i="49"/>
  <c r="AG6" i="49"/>
  <c r="AL7" i="49"/>
  <c r="AL5" i="49"/>
  <c r="AK88" i="49"/>
  <c r="AK91" i="49" s="1"/>
  <c r="T59" i="49" s="1"/>
  <c r="T60" i="49"/>
  <c r="AL29" i="49"/>
  <c r="AE6" i="49"/>
  <c r="AL47" i="49"/>
  <c r="N58" i="49" l="1"/>
  <c r="E58" i="49"/>
  <c r="C58" i="49"/>
  <c r="AM86" i="49"/>
  <c r="AM88" i="49" s="1"/>
  <c r="AM91" i="49" s="1"/>
  <c r="U59" i="49" s="1"/>
  <c r="I58" i="49"/>
  <c r="U58" i="49"/>
  <c r="G58" i="49"/>
  <c r="I60" i="49"/>
  <c r="J58" i="49"/>
  <c r="U56" i="49"/>
  <c r="G60" i="49"/>
  <c r="C60" i="49"/>
  <c r="AE8" i="49"/>
  <c r="AK92" i="49"/>
  <c r="AK93" i="49"/>
  <c r="AK94" i="49"/>
  <c r="AK95" i="49"/>
  <c r="AG88" i="49"/>
  <c r="AG91" i="49" s="1"/>
  <c r="P59" i="49" s="1"/>
  <c r="P60" i="49"/>
  <c r="AK12" i="49"/>
  <c r="AK11" i="49"/>
  <c r="I59" i="49" s="1"/>
  <c r="AK13" i="49"/>
  <c r="AK14" i="49"/>
  <c r="AK15" i="49"/>
  <c r="E60" i="49"/>
  <c r="AG8" i="49"/>
  <c r="N60" i="49"/>
  <c r="AE88" i="49"/>
  <c r="AE91" i="49" s="1"/>
  <c r="N59" i="49" s="1"/>
  <c r="AI88" i="49"/>
  <c r="AI91" i="49" s="1"/>
  <c r="R59" i="49" s="1"/>
  <c r="AI12" i="49"/>
  <c r="AI11" i="49"/>
  <c r="G59" i="49" s="1"/>
  <c r="AI15" i="49"/>
  <c r="AI14" i="49"/>
  <c r="AI13" i="49"/>
  <c r="AM6" i="49"/>
  <c r="U60" i="49" l="1"/>
  <c r="AK17" i="49"/>
  <c r="AK20" i="49" s="1"/>
  <c r="I61" i="49" s="1"/>
  <c r="AE11" i="49"/>
  <c r="C59" i="49" s="1"/>
  <c r="AE15" i="49"/>
  <c r="AE12" i="49"/>
  <c r="AE13" i="49"/>
  <c r="AE14" i="49"/>
  <c r="AM8" i="49"/>
  <c r="J60" i="49"/>
  <c r="AE93" i="49"/>
  <c r="AE95" i="49"/>
  <c r="AE92" i="49"/>
  <c r="AE94" i="49"/>
  <c r="AG94" i="49"/>
  <c r="AG95" i="49"/>
  <c r="AG92" i="49"/>
  <c r="AG93" i="49"/>
  <c r="AK100" i="49"/>
  <c r="T61" i="49" s="1"/>
  <c r="AK97" i="49"/>
  <c r="AI17" i="49"/>
  <c r="AI20" i="49" s="1"/>
  <c r="G61" i="49" s="1"/>
  <c r="AI95" i="49"/>
  <c r="AI93" i="49"/>
  <c r="AI94" i="49"/>
  <c r="AI92" i="49"/>
  <c r="R60" i="49" s="1"/>
  <c r="AM95" i="49"/>
  <c r="AM93" i="49"/>
  <c r="AM92" i="49"/>
  <c r="AM94" i="49"/>
  <c r="AG15" i="49"/>
  <c r="AG12" i="49"/>
  <c r="AG11" i="49"/>
  <c r="E59" i="49" s="1"/>
  <c r="AG13" i="49"/>
  <c r="AG14" i="49"/>
  <c r="AI100" i="49" l="1"/>
  <c r="R61" i="49" s="1"/>
  <c r="AI97" i="49"/>
  <c r="AE17" i="49"/>
  <c r="AE20" i="49" s="1"/>
  <c r="C61" i="49" s="1"/>
  <c r="AG17" i="49"/>
  <c r="AG20" i="49" s="1"/>
  <c r="E61" i="49" s="1"/>
  <c r="AM97" i="49"/>
  <c r="AM100" i="49" s="1"/>
  <c r="U61" i="49" s="1"/>
  <c r="AG97" i="49"/>
  <c r="AG100" i="49" s="1"/>
  <c r="P61" i="49" s="1"/>
  <c r="AE97" i="49"/>
  <c r="AE100" i="49" s="1"/>
  <c r="N61" i="49" s="1"/>
  <c r="AM11" i="49"/>
  <c r="J59" i="49" s="1"/>
  <c r="AM12" i="49"/>
  <c r="AM13" i="49"/>
  <c r="AM14" i="49"/>
  <c r="AM15" i="49"/>
  <c r="AM17" i="49" l="1"/>
  <c r="AM20" i="49" s="1"/>
  <c r="J61" i="49" s="1"/>
</calcChain>
</file>

<file path=xl/sharedStrings.xml><?xml version="1.0" encoding="utf-8"?>
<sst xmlns="http://schemas.openxmlformats.org/spreadsheetml/2006/main" count="468" uniqueCount="34">
  <si>
    <t>City:</t>
  </si>
  <si>
    <t>Project #:</t>
  </si>
  <si>
    <t xml:space="preserve"> </t>
  </si>
  <si>
    <t>Location:</t>
  </si>
  <si>
    <t>AM Period</t>
  </si>
  <si>
    <t>PM Period</t>
  </si>
  <si>
    <t>Total Vol.</t>
  </si>
  <si>
    <t>Daily Totals</t>
  </si>
  <si>
    <t>NB</t>
  </si>
  <si>
    <t>SB</t>
  </si>
  <si>
    <t>EB</t>
  </si>
  <si>
    <t>WB</t>
  </si>
  <si>
    <t>PM</t>
  </si>
  <si>
    <t>AM</t>
  </si>
  <si>
    <t>Hourly Totals</t>
  </si>
  <si>
    <t>Combined</t>
  </si>
  <si>
    <t>MAX #</t>
  </si>
  <si>
    <t xml:space="preserve">ROW # </t>
  </si>
  <si>
    <t>PEAK Hr</t>
  </si>
  <si>
    <t>Begins</t>
  </si>
  <si>
    <t>Split %</t>
  </si>
  <si>
    <t>Peak Hour</t>
  </si>
  <si>
    <t>Volume</t>
  </si>
  <si>
    <t>P.H.F.</t>
  </si>
  <si>
    <t>MAX 15</t>
  </si>
  <si>
    <t>PHF</t>
  </si>
  <si>
    <t>Volumes for:</t>
  </si>
  <si>
    <t>version 2.1</t>
  </si>
  <si>
    <t>Prepared by:  Field Data Services of Arizona/Veracity Traffic Group (520) 316-6745</t>
  </si>
  <si>
    <t>GPS Coordinates:</t>
  </si>
  <si>
    <t>Tempe</t>
  </si>
  <si>
    <t>16-1338-052</t>
  </si>
  <si>
    <t xml:space="preserve">Rural Rd. btwn. Rio Salado Pkwy. &amp; University Dr. </t>
  </si>
  <si>
    <t>33.426354, -111.926304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</si>
</sst>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General_)"/>
    <numFmt numFmtId="165" formatCode="h:mm;@"/>
    <numFmt numFmtId="166" formatCode="hh:mm"/>
    <numFmt numFmtId="167" formatCode="0.0%"/>
    <numFmt numFmtId="168" formatCode="[$-F800]dddd\,\ mmmm\ dd\,\ yyyy"/>
  </numFmts>
  <fonts count="16" x14ac:knownFonts="1">
    <font>
      <sz val="12"/>
      <name val="Helv"/>
    </font>
    <font>
      <sz val="10"/>
      <name val="Arial"/>
      <family val="2"/>
    </font>
    <font>
      <sz val="10"/>
      <name val="Tms Rmn"/>
    </font>
    <font>
      <sz val="11"/>
      <name val="Times New Roman"/>
      <family val="1"/>
    </font>
    <font>
      <sz val="11"/>
      <name val="Tahoma"/>
      <family val="2"/>
    </font>
    <font>
      <sz val="12"/>
      <name val="Tahoma"/>
      <family val="2"/>
    </font>
    <font>
      <sz val="14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sz val="12"/>
      <color indexed="10"/>
      <name val="Helv"/>
    </font>
    <font>
      <sz val="8"/>
      <name val="Helv"/>
    </font>
    <font>
      <b/>
      <sz val="18"/>
      <name val="Helv"/>
    </font>
    <font>
      <b/>
      <sz val="12"/>
      <name val="Helv"/>
    </font>
    <font>
      <b/>
      <sz val="10"/>
      <name val="Tms Rmn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164" fontId="0" fillId="0" borderId="0"/>
    <xf numFmtId="0" fontId="1" fillId="0" borderId="0"/>
  </cellStyleXfs>
  <cellXfs count="128">
    <xf numFmtId="164" fontId="0" fillId="0" borderId="0" xfId="0"/>
    <xf numFmtId="164" fontId="0" fillId="2" borderId="0" xfId="0" applyFill="1"/>
    <xf numFmtId="164" fontId="0" fillId="2" borderId="0" xfId="0" applyFill="1" applyBorder="1"/>
    <xf numFmtId="164" fontId="0" fillId="2" borderId="0" xfId="0" applyFill="1" applyAlignment="1">
      <alignment horizontal="center"/>
    </xf>
    <xf numFmtId="164" fontId="0" fillId="2" borderId="0" xfId="0" applyFill="1" applyAlignment="1">
      <alignment shrinkToFit="1"/>
    </xf>
    <xf numFmtId="164" fontId="0" fillId="2" borderId="0" xfId="0" applyFill="1" applyAlignment="1">
      <alignment horizontal="center" shrinkToFit="1"/>
    </xf>
    <xf numFmtId="164" fontId="6" fillId="2" borderId="0" xfId="0" applyFont="1" applyFill="1" applyBorder="1" applyAlignment="1" applyProtection="1">
      <alignment horizontal="right" vertical="center"/>
    </xf>
    <xf numFmtId="164" fontId="6" fillId="2" borderId="1" xfId="0" applyFont="1" applyFill="1" applyBorder="1" applyAlignment="1" applyProtection="1">
      <alignment horizontal="center" vertical="center"/>
    </xf>
    <xf numFmtId="164" fontId="4" fillId="2" borderId="2" xfId="0" applyFont="1" applyFill="1" applyBorder="1" applyAlignment="1" applyProtection="1">
      <alignment horizontal="center" shrinkToFit="1"/>
    </xf>
    <xf numFmtId="164" fontId="3" fillId="2" borderId="0" xfId="0" applyFont="1" applyFill="1" applyBorder="1" applyAlignment="1">
      <alignment shrinkToFit="1"/>
    </xf>
    <xf numFmtId="164" fontId="3" fillId="2" borderId="0" xfId="0" applyFont="1" applyFill="1" applyAlignment="1">
      <alignment shrinkToFit="1"/>
    </xf>
    <xf numFmtId="164" fontId="4" fillId="2" borderId="0" xfId="0" applyFont="1" applyFill="1" applyAlignment="1" applyProtection="1">
      <alignment horizontal="center" shrinkToFit="1"/>
    </xf>
    <xf numFmtId="164" fontId="4" fillId="2" borderId="0" xfId="0" applyFont="1" applyFill="1" applyBorder="1" applyAlignment="1" applyProtection="1">
      <alignment horizontal="center" shrinkToFit="1"/>
    </xf>
    <xf numFmtId="164" fontId="2" fillId="2" borderId="0" xfId="0" applyFont="1" applyFill="1" applyAlignment="1">
      <alignment shrinkToFit="1"/>
    </xf>
    <xf numFmtId="164" fontId="0" fillId="0" borderId="0" xfId="0" applyAlignment="1">
      <alignment shrinkToFit="1"/>
    </xf>
    <xf numFmtId="164" fontId="6" fillId="2" borderId="0" xfId="0" applyFont="1" applyFill="1" applyBorder="1" applyAlignment="1"/>
    <xf numFmtId="164" fontId="6" fillId="2" borderId="0" xfId="0" applyFont="1" applyFill="1" applyAlignment="1"/>
    <xf numFmtId="164" fontId="6" fillId="2" borderId="1" xfId="0" applyFont="1" applyFill="1" applyBorder="1" applyAlignment="1">
      <alignment horizontal="center" vertical="center"/>
    </xf>
    <xf numFmtId="164" fontId="5" fillId="2" borderId="0" xfId="0" applyFont="1" applyFill="1" applyAlignment="1" applyProtection="1">
      <alignment horizontal="center" shrinkToFit="1"/>
    </xf>
    <xf numFmtId="164" fontId="5" fillId="2" borderId="0" xfId="0" applyFont="1" applyFill="1" applyAlignment="1">
      <alignment horizontal="center" shrinkToFit="1"/>
    </xf>
    <xf numFmtId="164" fontId="5" fillId="2" borderId="3" xfId="0" applyFont="1" applyFill="1" applyBorder="1" applyAlignment="1" applyProtection="1">
      <alignment horizontal="center" shrinkToFit="1"/>
    </xf>
    <xf numFmtId="164" fontId="5" fillId="2" borderId="0" xfId="0" applyFont="1" applyFill="1" applyBorder="1" applyAlignment="1" applyProtection="1">
      <alignment horizontal="center" shrinkToFit="1"/>
    </xf>
    <xf numFmtId="164" fontId="5" fillId="2" borderId="2" xfId="0" applyFont="1" applyFill="1" applyBorder="1" applyAlignment="1" applyProtection="1">
      <alignment horizontal="center" shrinkToFit="1"/>
    </xf>
    <xf numFmtId="164" fontId="5" fillId="2" borderId="2" xfId="0" applyFont="1" applyFill="1" applyBorder="1" applyAlignment="1">
      <alignment horizontal="center" shrinkToFit="1"/>
    </xf>
    <xf numFmtId="164" fontId="5" fillId="2" borderId="0" xfId="0" applyFont="1" applyFill="1" applyAlignment="1">
      <alignment horizontal="center"/>
    </xf>
    <xf numFmtId="164" fontId="0" fillId="0" borderId="0" xfId="0" applyAlignment="1">
      <alignment horizontal="center" shrinkToFit="1"/>
    </xf>
    <xf numFmtId="164" fontId="6" fillId="2" borderId="0" xfId="0" applyFont="1" applyFill="1" applyBorder="1" applyAlignment="1" applyProtection="1">
      <alignment horizontal="center" vertical="center"/>
    </xf>
    <xf numFmtId="164" fontId="6" fillId="2" borderId="0" xfId="0" applyFont="1" applyFill="1" applyBorder="1" applyAlignment="1" applyProtection="1">
      <alignment horizontal="left" vertical="center"/>
    </xf>
    <xf numFmtId="164" fontId="5" fillId="2" borderId="0" xfId="0" applyFont="1" applyFill="1" applyAlignment="1" applyProtection="1">
      <alignment horizontal="center" shrinkToFit="1"/>
      <protection locked="0"/>
    </xf>
    <xf numFmtId="164" fontId="5" fillId="2" borderId="3" xfId="0" applyFont="1" applyFill="1" applyBorder="1" applyAlignment="1" applyProtection="1">
      <alignment horizontal="center" shrinkToFit="1"/>
      <protection locked="0"/>
    </xf>
    <xf numFmtId="164" fontId="5" fillId="2" borderId="0" xfId="0" applyFont="1" applyFill="1" applyBorder="1" applyAlignment="1" applyProtection="1">
      <alignment horizontal="center" shrinkToFit="1"/>
      <protection locked="0"/>
    </xf>
    <xf numFmtId="164" fontId="5" fillId="2" borderId="0" xfId="0" applyFont="1" applyFill="1" applyAlignment="1" applyProtection="1">
      <alignment horizontal="center"/>
    </xf>
    <xf numFmtId="164" fontId="6" fillId="2" borderId="0" xfId="0" applyFont="1" applyFill="1" applyBorder="1" applyAlignment="1" applyProtection="1">
      <alignment horizontal="center" vertical="center"/>
      <protection locked="0"/>
    </xf>
    <xf numFmtId="164" fontId="6" fillId="2" borderId="1" xfId="0" applyFont="1" applyFill="1" applyBorder="1" applyAlignment="1"/>
    <xf numFmtId="164" fontId="6" fillId="2" borderId="0" xfId="0" applyFont="1" applyFill="1" applyBorder="1" applyAlignment="1" applyProtection="1">
      <alignment horizontal="left" vertical="center"/>
      <protection locked="0"/>
    </xf>
    <xf numFmtId="164" fontId="0" fillId="2" borderId="4" xfId="0" applyFill="1" applyBorder="1"/>
    <xf numFmtId="164" fontId="3" fillId="2" borderId="4" xfId="0" applyFont="1" applyFill="1" applyBorder="1" applyAlignment="1">
      <alignment shrinkToFit="1"/>
    </xf>
    <xf numFmtId="164" fontId="7" fillId="2" borderId="0" xfId="0" applyFont="1" applyFill="1" applyAlignment="1" applyProtection="1">
      <alignment horizontal="right"/>
    </xf>
    <xf numFmtId="164" fontId="6" fillId="2" borderId="0" xfId="0" applyFont="1" applyFill="1" applyAlignment="1">
      <alignment horizontal="right"/>
    </xf>
    <xf numFmtId="164" fontId="6" fillId="3" borderId="0" xfId="0" applyFont="1" applyFill="1" applyAlignment="1">
      <alignment horizontal="right"/>
    </xf>
    <xf numFmtId="164" fontId="0" fillId="3" borderId="4" xfId="0" applyFill="1" applyBorder="1"/>
    <xf numFmtId="165" fontId="4" fillId="2" borderId="0" xfId="0" applyNumberFormat="1" applyFont="1" applyFill="1" applyAlignment="1" applyProtection="1">
      <alignment horizontal="center" shrinkToFit="1"/>
    </xf>
    <xf numFmtId="165" fontId="4" fillId="2" borderId="5" xfId="0" applyNumberFormat="1" applyFont="1" applyFill="1" applyBorder="1" applyAlignment="1" applyProtection="1">
      <alignment horizontal="center" shrinkToFit="1"/>
    </xf>
    <xf numFmtId="165" fontId="6" fillId="2" borderId="0" xfId="0" applyNumberFormat="1" applyFont="1" applyFill="1" applyBorder="1" applyAlignment="1" applyProtection="1">
      <alignment horizontal="right" vertical="center"/>
    </xf>
    <xf numFmtId="165" fontId="6" fillId="2" borderId="0" xfId="0" applyNumberFormat="1" applyFont="1" applyFill="1" applyAlignment="1"/>
    <xf numFmtId="165" fontId="0" fillId="2" borderId="4" xfId="0" applyNumberFormat="1" applyFill="1" applyBorder="1"/>
    <xf numFmtId="165" fontId="3" fillId="2" borderId="4" xfId="0" applyNumberFormat="1" applyFont="1" applyFill="1" applyBorder="1" applyAlignment="1">
      <alignment shrinkToFit="1"/>
    </xf>
    <xf numFmtId="165" fontId="0" fillId="0" borderId="0" xfId="0" applyNumberFormat="1"/>
    <xf numFmtId="165" fontId="0" fillId="3" borderId="4" xfId="0" applyNumberFormat="1" applyFill="1" applyBorder="1"/>
    <xf numFmtId="166" fontId="6" fillId="2" borderId="0" xfId="0" applyNumberFormat="1" applyFont="1" applyFill="1" applyBorder="1" applyAlignment="1" applyProtection="1">
      <alignment horizontal="right" vertical="center"/>
    </xf>
    <xf numFmtId="166" fontId="6" fillId="2" borderId="1" xfId="0" applyNumberFormat="1" applyFont="1" applyFill="1" applyBorder="1" applyAlignment="1" applyProtection="1">
      <alignment horizontal="center" vertical="center"/>
    </xf>
    <xf numFmtId="166" fontId="4" fillId="2" borderId="0" xfId="0" applyNumberFormat="1" applyFont="1" applyFill="1" applyAlignment="1" applyProtection="1">
      <alignment horizontal="center" shrinkToFit="1"/>
    </xf>
    <xf numFmtId="166" fontId="4" fillId="2" borderId="5" xfId="0" applyNumberFormat="1" applyFont="1" applyFill="1" applyBorder="1" applyAlignment="1" applyProtection="1">
      <alignment horizontal="center" shrinkToFit="1"/>
    </xf>
    <xf numFmtId="166" fontId="7" fillId="2" borderId="2" xfId="0" applyNumberFormat="1" applyFont="1" applyFill="1" applyBorder="1" applyAlignment="1" applyProtection="1">
      <alignment horizontal="center"/>
    </xf>
    <xf numFmtId="166" fontId="0" fillId="2" borderId="0" xfId="0" applyNumberFormat="1" applyFill="1" applyAlignment="1">
      <alignment shrinkToFit="1"/>
    </xf>
    <xf numFmtId="166" fontId="2" fillId="2" borderId="0" xfId="0" applyNumberFormat="1" applyFont="1" applyFill="1" applyAlignment="1">
      <alignment shrinkToFit="1"/>
    </xf>
    <xf numFmtId="166" fontId="0" fillId="0" borderId="0" xfId="0" applyNumberFormat="1" applyAlignment="1">
      <alignment shrinkToFit="1"/>
    </xf>
    <xf numFmtId="165" fontId="0" fillId="0" borderId="4" xfId="0" applyNumberFormat="1" applyFill="1" applyBorder="1"/>
    <xf numFmtId="1" fontId="0" fillId="3" borderId="4" xfId="0" applyNumberFormat="1" applyFill="1" applyBorder="1"/>
    <xf numFmtId="2" fontId="0" fillId="3" borderId="4" xfId="0" applyNumberFormat="1" applyFill="1" applyBorder="1"/>
    <xf numFmtId="164" fontId="0" fillId="2" borderId="6" xfId="0" applyFill="1" applyBorder="1"/>
    <xf numFmtId="164" fontId="0" fillId="0" borderId="0" xfId="0" applyBorder="1"/>
    <xf numFmtId="164" fontId="7" fillId="2" borderId="0" xfId="0" applyFont="1" applyFill="1" applyAlignment="1">
      <alignment horizontal="center"/>
    </xf>
    <xf numFmtId="164" fontId="7" fillId="2" borderId="2" xfId="0" applyFont="1" applyFill="1" applyBorder="1" applyAlignment="1" applyProtection="1">
      <alignment horizontal="center" shrinkToFit="1"/>
    </xf>
    <xf numFmtId="166" fontId="7" fillId="4" borderId="0" xfId="0" applyNumberFormat="1" applyFont="1" applyFill="1" applyBorder="1" applyAlignment="1" applyProtection="1">
      <alignment horizontal="center"/>
    </xf>
    <xf numFmtId="164" fontId="5" fillId="4" borderId="0" xfId="0" applyFont="1" applyFill="1" applyBorder="1" applyAlignment="1">
      <alignment horizontal="center" shrinkToFit="1"/>
    </xf>
    <xf numFmtId="164" fontId="5" fillId="4" borderId="0" xfId="0" applyFont="1" applyFill="1" applyBorder="1" applyAlignment="1" applyProtection="1">
      <alignment horizontal="center" shrinkToFit="1"/>
    </xf>
    <xf numFmtId="164" fontId="7" fillId="4" borderId="0" xfId="0" applyFont="1" applyFill="1" applyBorder="1" applyAlignment="1" applyProtection="1">
      <alignment horizontal="center" shrinkToFit="1"/>
    </xf>
    <xf numFmtId="164" fontId="4" fillId="4" borderId="0" xfId="0" applyFont="1" applyFill="1" applyBorder="1" applyAlignment="1" applyProtection="1">
      <alignment horizontal="center" shrinkToFit="1"/>
    </xf>
    <xf numFmtId="1" fontId="4" fillId="4" borderId="0" xfId="0" applyNumberFormat="1" applyFont="1" applyFill="1" applyAlignment="1" applyProtection="1">
      <alignment horizontal="center"/>
    </xf>
    <xf numFmtId="1" fontId="5" fillId="4" borderId="0" xfId="0" applyNumberFormat="1" applyFont="1" applyFill="1" applyBorder="1" applyAlignment="1">
      <alignment horizontal="center" shrinkToFit="1"/>
    </xf>
    <xf numFmtId="1" fontId="8" fillId="4" borderId="0" xfId="0" applyNumberFormat="1" applyFont="1" applyFill="1" applyAlignment="1" applyProtection="1">
      <alignment horizontal="center"/>
    </xf>
    <xf numFmtId="164" fontId="4" fillId="4" borderId="0" xfId="0" applyFont="1" applyFill="1" applyAlignment="1" applyProtection="1">
      <alignment horizontal="right" shrinkToFit="1"/>
    </xf>
    <xf numFmtId="2" fontId="4" fillId="4" borderId="0" xfId="0" applyNumberFormat="1" applyFont="1" applyFill="1" applyAlignment="1" applyProtection="1">
      <alignment horizontal="center"/>
    </xf>
    <xf numFmtId="2" fontId="8" fillId="4" borderId="0" xfId="0" applyNumberFormat="1" applyFont="1" applyFill="1" applyAlignment="1" applyProtection="1">
      <alignment horizontal="center"/>
    </xf>
    <xf numFmtId="164" fontId="4" fillId="4" borderId="0" xfId="0" applyFont="1" applyFill="1" applyAlignment="1">
      <alignment horizontal="center" shrinkToFit="1"/>
    </xf>
    <xf numFmtId="164" fontId="5" fillId="4" borderId="0" xfId="0" applyFont="1" applyFill="1" applyAlignment="1">
      <alignment horizontal="center" shrinkToFit="1"/>
    </xf>
    <xf numFmtId="166" fontId="7" fillId="4" borderId="7" xfId="0" applyNumberFormat="1" applyFont="1" applyFill="1" applyBorder="1" applyAlignment="1" applyProtection="1">
      <alignment horizontal="center"/>
    </xf>
    <xf numFmtId="164" fontId="5" fillId="4" borderId="7" xfId="0" applyFont="1" applyFill="1" applyBorder="1" applyAlignment="1">
      <alignment horizontal="center" shrinkToFit="1"/>
    </xf>
    <xf numFmtId="166" fontId="4" fillId="4" borderId="7" xfId="0" applyNumberFormat="1" applyFont="1" applyFill="1" applyBorder="1" applyAlignment="1" applyProtection="1">
      <alignment horizontal="center"/>
    </xf>
    <xf numFmtId="166" fontId="8" fillId="4" borderId="7" xfId="0" applyNumberFormat="1" applyFont="1" applyFill="1" applyBorder="1" applyAlignment="1" applyProtection="1">
      <alignment horizontal="center"/>
    </xf>
    <xf numFmtId="164" fontId="4" fillId="4" borderId="7" xfId="0" applyFont="1" applyFill="1" applyBorder="1" applyAlignment="1" applyProtection="1">
      <alignment horizontal="center"/>
    </xf>
    <xf numFmtId="164" fontId="4" fillId="4" borderId="7" xfId="0" applyFont="1" applyFill="1" applyBorder="1" applyAlignment="1">
      <alignment horizontal="center"/>
    </xf>
    <xf numFmtId="166" fontId="9" fillId="4" borderId="0" xfId="0" applyNumberFormat="1" applyFont="1" applyFill="1" applyBorder="1" applyAlignment="1" applyProtection="1">
      <alignment horizontal="center"/>
    </xf>
    <xf numFmtId="164" fontId="6" fillId="4" borderId="0" xfId="0" applyFont="1" applyFill="1" applyBorder="1" applyAlignment="1">
      <alignment horizontal="center" shrinkToFit="1"/>
    </xf>
    <xf numFmtId="164" fontId="6" fillId="4" borderId="0" xfId="0" applyFont="1" applyFill="1" applyBorder="1" applyAlignment="1" applyProtection="1">
      <alignment horizontal="center" shrinkToFit="1"/>
    </xf>
    <xf numFmtId="164" fontId="5" fillId="2" borderId="5" xfId="0" applyFont="1" applyFill="1" applyBorder="1" applyAlignment="1">
      <alignment horizontal="center" shrinkToFit="1"/>
    </xf>
    <xf numFmtId="164" fontId="5" fillId="2" borderId="5" xfId="0" applyFont="1" applyFill="1" applyBorder="1" applyAlignment="1">
      <alignment shrinkToFit="1"/>
    </xf>
    <xf numFmtId="164" fontId="7" fillId="2" borderId="5" xfId="0" applyFont="1" applyFill="1" applyBorder="1" applyAlignment="1">
      <alignment horizontal="center" shrinkToFit="1"/>
    </xf>
    <xf numFmtId="164" fontId="5" fillId="2" borderId="0" xfId="0" applyFont="1" applyFill="1" applyAlignment="1">
      <alignment shrinkToFit="1"/>
    </xf>
    <xf numFmtId="164" fontId="6" fillId="2" borderId="0" xfId="0" applyFont="1" applyFill="1" applyBorder="1" applyAlignment="1" applyProtection="1">
      <alignment horizontal="center" shrinkToFit="1"/>
    </xf>
    <xf numFmtId="164" fontId="4" fillId="2" borderId="7" xfId="0" applyFont="1" applyFill="1" applyBorder="1" applyAlignment="1" applyProtection="1">
      <alignment horizontal="center"/>
    </xf>
    <xf numFmtId="164" fontId="4" fillId="2" borderId="0" xfId="0" applyFont="1" applyFill="1" applyAlignment="1">
      <alignment horizontal="center" shrinkToFit="1"/>
    </xf>
    <xf numFmtId="167" fontId="6" fillId="4" borderId="8" xfId="0" applyNumberFormat="1" applyFont="1" applyFill="1" applyBorder="1" applyAlignment="1" applyProtection="1">
      <alignment horizontal="center" shrinkToFit="1"/>
    </xf>
    <xf numFmtId="167" fontId="9" fillId="4" borderId="8" xfId="0" applyNumberFormat="1" applyFont="1" applyFill="1" applyBorder="1" applyAlignment="1" applyProtection="1">
      <alignment horizontal="center" shrinkToFit="1"/>
    </xf>
    <xf numFmtId="166" fontId="11" fillId="2" borderId="0" xfId="0" applyNumberFormat="1" applyFont="1" applyFill="1" applyAlignment="1">
      <alignment shrinkToFit="1"/>
    </xf>
    <xf numFmtId="164" fontId="11" fillId="2" borderId="0" xfId="0" applyFont="1" applyFill="1" applyAlignment="1">
      <alignment shrinkToFit="1"/>
    </xf>
    <xf numFmtId="164" fontId="0" fillId="3" borderId="6" xfId="0" applyFill="1" applyBorder="1"/>
    <xf numFmtId="165" fontId="0" fillId="3" borderId="6" xfId="0" applyNumberFormat="1" applyFill="1" applyBorder="1"/>
    <xf numFmtId="1" fontId="0" fillId="3" borderId="6" xfId="0" applyNumberFormat="1" applyFill="1" applyBorder="1"/>
    <xf numFmtId="2" fontId="0" fillId="3" borderId="6" xfId="0" applyNumberFormat="1" applyFill="1" applyBorder="1"/>
    <xf numFmtId="164" fontId="5" fillId="2" borderId="5" xfId="0" applyFont="1" applyFill="1" applyBorder="1" applyAlignment="1" applyProtection="1">
      <alignment horizontal="center" shrinkToFit="1"/>
    </xf>
    <xf numFmtId="164" fontId="5" fillId="2" borderId="5" xfId="0" applyFont="1" applyFill="1" applyBorder="1" applyAlignment="1" applyProtection="1">
      <alignment horizontal="center" shrinkToFit="1"/>
      <protection locked="0"/>
    </xf>
    <xf numFmtId="164" fontId="4" fillId="2" borderId="5" xfId="0" applyFont="1" applyFill="1" applyBorder="1" applyAlignment="1" applyProtection="1">
      <alignment horizontal="center" shrinkToFit="1"/>
    </xf>
    <xf numFmtId="166" fontId="4" fillId="2" borderId="0" xfId="0" applyNumberFormat="1" applyFont="1" applyFill="1" applyBorder="1" applyAlignment="1" applyProtection="1">
      <alignment horizontal="center" shrinkToFit="1"/>
    </xf>
    <xf numFmtId="164" fontId="5" fillId="2" borderId="0" xfId="0" applyFont="1" applyFill="1" applyBorder="1" applyAlignment="1">
      <alignment horizontal="center" shrinkToFit="1"/>
    </xf>
    <xf numFmtId="165" fontId="4" fillId="2" borderId="0" xfId="0" applyNumberFormat="1" applyFont="1" applyFill="1" applyBorder="1" applyAlignment="1" applyProtection="1">
      <alignment horizontal="center" shrinkToFit="1"/>
    </xf>
    <xf numFmtId="0" fontId="5" fillId="2" borderId="0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168" fontId="6" fillId="2" borderId="0" xfId="0" applyNumberFormat="1" applyFont="1" applyFill="1" applyBorder="1" applyAlignment="1" applyProtection="1">
      <alignment horizontal="left" vertical="center"/>
    </xf>
    <xf numFmtId="165" fontId="0" fillId="2" borderId="6" xfId="0" applyNumberFormat="1" applyFill="1" applyBorder="1"/>
    <xf numFmtId="1" fontId="0" fillId="2" borderId="4" xfId="0" applyNumberFormat="1" applyFill="1" applyBorder="1"/>
    <xf numFmtId="1" fontId="0" fillId="2" borderId="6" xfId="0" applyNumberFormat="1" applyFill="1" applyBorder="1"/>
    <xf numFmtId="2" fontId="0" fillId="2" borderId="4" xfId="0" applyNumberFormat="1" applyFill="1" applyBorder="1"/>
    <xf numFmtId="2" fontId="0" fillId="2" borderId="6" xfId="0" applyNumberFormat="1" applyFill="1" applyBorder="1"/>
    <xf numFmtId="165" fontId="0" fillId="2" borderId="0" xfId="0" applyNumberFormat="1" applyFill="1"/>
    <xf numFmtId="166" fontId="12" fillId="2" borderId="0" xfId="0" applyNumberFormat="1" applyFont="1" applyFill="1" applyAlignment="1">
      <alignment horizontal="right" shrinkToFit="1"/>
    </xf>
    <xf numFmtId="164" fontId="14" fillId="2" borderId="0" xfId="0" applyFont="1" applyFill="1" applyBorder="1" applyProtection="1"/>
    <xf numFmtId="166" fontId="13" fillId="5" borderId="0" xfId="0" applyNumberFormat="1" applyFont="1" applyFill="1" applyAlignment="1" applyProtection="1">
      <alignment horizontal="center" shrinkToFit="1"/>
    </xf>
    <xf numFmtId="164" fontId="6" fillId="3" borderId="0" xfId="0" applyFont="1" applyFill="1" applyBorder="1" applyAlignment="1" applyProtection="1">
      <alignment horizontal="center" vertical="center"/>
    </xf>
    <xf numFmtId="164" fontId="10" fillId="2" borderId="5" xfId="0" applyFont="1" applyFill="1" applyBorder="1" applyAlignment="1">
      <alignment horizontal="center"/>
    </xf>
    <xf numFmtId="164" fontId="7" fillId="2" borderId="5" xfId="0" applyFont="1" applyFill="1" applyBorder="1" applyAlignment="1">
      <alignment horizontal="center"/>
    </xf>
    <xf numFmtId="166" fontId="7" fillId="2" borderId="0" xfId="0" applyNumberFormat="1" applyFont="1" applyFill="1" applyBorder="1" applyAlignment="1" applyProtection="1">
      <alignment horizontal="center"/>
    </xf>
    <xf numFmtId="168" fontId="6" fillId="2" borderId="0" xfId="0" applyNumberFormat="1" applyFont="1" applyFill="1" applyBorder="1" applyAlignment="1" applyProtection="1">
      <alignment horizontal="left" vertical="center"/>
    </xf>
    <xf numFmtId="166" fontId="6" fillId="2" borderId="0" xfId="0" applyNumberFormat="1" applyFont="1" applyFill="1" applyBorder="1" applyAlignment="1" applyProtection="1">
      <alignment horizontal="right" vertical="center"/>
    </xf>
    <xf numFmtId="164" fontId="6" fillId="2" borderId="0" xfId="0" applyFont="1" applyFill="1" applyBorder="1" applyAlignment="1" applyProtection="1">
      <alignment horizontal="left" vertical="center" shrinkToFit="1"/>
      <protection locked="0"/>
    </xf>
    <xf numFmtId="164" fontId="15" fillId="2" borderId="0" xfId="0" applyFont="1" applyFill="1" applyAlignment="1">
      <alignment horizontal="center" shrinkToFit="1"/>
    </xf>
  </cellXfs>
  <cellStyles count="2">
    <cellStyle name="Normal" xfId="0" builtinId="0"/>
    <cellStyle name="Normal_Day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68"/>
  <sheetViews>
    <sheetView tabSelected="1" workbookViewId="0">
      <selection activeCell="B5" sqref="B5"/>
    </sheetView>
  </sheetViews>
  <sheetFormatPr defaultRowHeight="15.75" x14ac:dyDescent="0.25"/>
  <cols>
    <col min="1" max="1" width="10.33203125" style="56" customWidth="1"/>
    <col min="2" max="2" width="4.6640625" style="14" customWidth="1"/>
    <col min="3" max="3" width="6.21875" style="14" customWidth="1"/>
    <col min="4" max="4" width="4.6640625" style="14" customWidth="1"/>
    <col min="5" max="5" width="5.77734375" style="14" customWidth="1"/>
    <col min="6" max="6" width="4.6640625" style="14" customWidth="1"/>
    <col min="7" max="7" width="5.77734375" style="14" customWidth="1"/>
    <col min="8" max="8" width="4.6640625" style="14" customWidth="1"/>
    <col min="9" max="9" width="5.77734375" style="14" customWidth="1"/>
    <col min="10" max="10" width="8.21875" style="14" customWidth="1"/>
    <col min="11" max="11" width="10" style="14" customWidth="1"/>
    <col min="12" max="12" width="1.21875" style="14" customWidth="1"/>
    <col min="13" max="13" width="4.6640625" style="14" customWidth="1"/>
    <col min="14" max="14" width="6.6640625" style="25" customWidth="1"/>
    <col min="15" max="15" width="4.6640625" style="14" customWidth="1"/>
    <col min="16" max="16" width="6.6640625" style="25" customWidth="1"/>
    <col min="17" max="17" width="4.6640625" style="14" customWidth="1"/>
    <col min="18" max="18" width="6.6640625" style="25" customWidth="1"/>
    <col min="19" max="19" width="4.6640625" style="14" customWidth="1"/>
    <col min="20" max="20" width="6.6640625" style="25" customWidth="1"/>
    <col min="21" max="21" width="8.77734375" style="25" customWidth="1"/>
    <col min="22" max="22" width="8.77734375" style="1" customWidth="1"/>
    <col min="23" max="23" width="8.77734375" hidden="1" customWidth="1"/>
    <col min="24" max="24" width="8.77734375" style="47" hidden="1" customWidth="1"/>
    <col min="25" max="39" width="8.77734375" hidden="1" customWidth="1"/>
    <col min="40" max="40" width="0" style="2" hidden="1" customWidth="1"/>
    <col min="41" max="48" width="8.88671875" style="2"/>
    <col min="49" max="66" width="8.88671875" style="1"/>
    <col min="72" max="98" width="8.88671875" style="61"/>
  </cols>
  <sheetData>
    <row r="1" spans="1:39" ht="23.25" x14ac:dyDescent="0.35">
      <c r="A1" s="119" t="s">
        <v>28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</row>
    <row r="2" spans="1:39" s="6" customFormat="1" ht="25.5" customHeight="1" x14ac:dyDescent="0.25">
      <c r="A2" s="125" t="s">
        <v>26</v>
      </c>
      <c r="B2" s="125"/>
      <c r="C2" s="124">
        <v>42649</v>
      </c>
      <c r="D2" s="124"/>
      <c r="E2" s="124"/>
      <c r="F2" s="124"/>
      <c r="G2" s="124"/>
      <c r="H2" s="124"/>
      <c r="I2" s="110"/>
      <c r="J2" s="6" t="s">
        <v>0</v>
      </c>
      <c r="K2" s="34" t="s">
        <v>30</v>
      </c>
      <c r="L2" s="32"/>
      <c r="M2" s="32"/>
      <c r="N2" s="32"/>
      <c r="O2" s="32"/>
      <c r="P2" s="26"/>
      <c r="R2" s="6" t="s">
        <v>1</v>
      </c>
      <c r="S2" s="126" t="s">
        <v>31</v>
      </c>
      <c r="T2" s="126"/>
      <c r="U2" s="126"/>
      <c r="X2" s="43"/>
    </row>
    <row r="3" spans="1:39" s="6" customFormat="1" ht="25.5" customHeight="1" x14ac:dyDescent="0.25">
      <c r="A3" s="49" t="s">
        <v>3</v>
      </c>
      <c r="B3" s="27" t="s">
        <v>32</v>
      </c>
      <c r="I3" s="27"/>
      <c r="K3" s="32"/>
      <c r="L3" s="32"/>
      <c r="M3" s="32"/>
      <c r="N3" s="32"/>
      <c r="O3" s="32"/>
      <c r="P3" s="26"/>
      <c r="S3" s="126"/>
      <c r="T3" s="126"/>
      <c r="U3" s="126"/>
      <c r="X3" s="43"/>
      <c r="AD3" s="120" t="s">
        <v>14</v>
      </c>
      <c r="AE3" s="120"/>
      <c r="AF3" s="120"/>
      <c r="AG3" s="120"/>
      <c r="AH3" s="120"/>
      <c r="AI3" s="120"/>
      <c r="AJ3" s="120"/>
      <c r="AK3" s="120"/>
      <c r="AL3" s="120"/>
      <c r="AM3" s="120"/>
    </row>
    <row r="4" spans="1:39" s="15" customFormat="1" ht="16.5" customHeight="1" thickBot="1" x14ac:dyDescent="0.3">
      <c r="A4" s="50" t="s">
        <v>4</v>
      </c>
      <c r="B4" s="7" t="s">
        <v>8</v>
      </c>
      <c r="C4" s="7" t="s">
        <v>2</v>
      </c>
      <c r="D4" s="7" t="s">
        <v>9</v>
      </c>
      <c r="E4" s="7" t="s">
        <v>2</v>
      </c>
      <c r="F4" s="7" t="s">
        <v>10</v>
      </c>
      <c r="G4" s="7" t="s">
        <v>2</v>
      </c>
      <c r="H4" s="7" t="s">
        <v>11</v>
      </c>
      <c r="I4" s="33"/>
      <c r="J4" s="17"/>
      <c r="K4" s="7" t="s">
        <v>5</v>
      </c>
      <c r="L4" s="7"/>
      <c r="M4" s="7" t="s">
        <v>8</v>
      </c>
      <c r="N4" s="7" t="s">
        <v>2</v>
      </c>
      <c r="O4" s="7" t="s">
        <v>9</v>
      </c>
      <c r="P4" s="7" t="s">
        <v>2</v>
      </c>
      <c r="Q4" s="7" t="s">
        <v>10</v>
      </c>
      <c r="R4" s="7" t="s">
        <v>2</v>
      </c>
      <c r="S4" s="7" t="s">
        <v>11</v>
      </c>
      <c r="T4" s="33"/>
      <c r="U4" s="17" t="s">
        <v>2</v>
      </c>
      <c r="W4" s="16" t="s">
        <v>2</v>
      </c>
      <c r="X4" s="44" t="s">
        <v>2</v>
      </c>
      <c r="Y4" s="38" t="s">
        <v>8</v>
      </c>
      <c r="Z4" s="38" t="s">
        <v>9</v>
      </c>
      <c r="AA4" s="38" t="s">
        <v>10</v>
      </c>
      <c r="AB4" s="38" t="s">
        <v>11</v>
      </c>
      <c r="AC4" s="38" t="s">
        <v>15</v>
      </c>
      <c r="AD4" s="39" t="s">
        <v>8</v>
      </c>
      <c r="AE4" s="39"/>
      <c r="AF4" s="39" t="s">
        <v>9</v>
      </c>
      <c r="AG4" s="39"/>
      <c r="AH4" s="39" t="s">
        <v>10</v>
      </c>
      <c r="AI4" s="39"/>
      <c r="AJ4" s="39" t="s">
        <v>11</v>
      </c>
      <c r="AK4" s="39"/>
      <c r="AL4" s="39" t="s">
        <v>15</v>
      </c>
      <c r="AM4" s="39"/>
    </row>
    <row r="5" spans="1:39" ht="22.5" customHeight="1" thickTop="1" x14ac:dyDescent="0.25">
      <c r="A5" s="51">
        <v>0</v>
      </c>
      <c r="B5" s="109">
        <v>70</v>
      </c>
      <c r="C5" s="18" t="s">
        <v>2</v>
      </c>
      <c r="D5" s="109">
        <v>70</v>
      </c>
      <c r="E5" s="18" t="s">
        <v>2</v>
      </c>
      <c r="F5" s="28"/>
      <c r="G5" s="18" t="s">
        <v>2</v>
      </c>
      <c r="H5" s="28"/>
      <c r="I5" s="18" t="s">
        <v>2</v>
      </c>
      <c r="J5" s="19" t="s">
        <v>2</v>
      </c>
      <c r="K5" s="41">
        <v>0.5</v>
      </c>
      <c r="L5" s="11"/>
      <c r="M5" s="109">
        <v>297</v>
      </c>
      <c r="N5" s="18" t="s">
        <v>2</v>
      </c>
      <c r="O5" s="109">
        <v>251</v>
      </c>
      <c r="P5" s="18" t="s">
        <v>2</v>
      </c>
      <c r="Q5" s="28"/>
      <c r="R5" s="18" t="s">
        <v>2</v>
      </c>
      <c r="S5" s="28"/>
      <c r="T5" s="18" t="s">
        <v>2</v>
      </c>
      <c r="U5" s="19" t="s">
        <v>2</v>
      </c>
      <c r="V5" s="2"/>
      <c r="W5" s="37" t="s">
        <v>13</v>
      </c>
      <c r="X5" s="45">
        <f t="shared" ref="X5:X52" si="0">A5</f>
        <v>0</v>
      </c>
      <c r="Y5" s="35">
        <f t="shared" ref="Y5:Y52" si="1">B5</f>
        <v>70</v>
      </c>
      <c r="Z5" s="35">
        <f t="shared" ref="Z5:Z52" si="2">D5</f>
        <v>70</v>
      </c>
      <c r="AA5" s="35">
        <f t="shared" ref="AA5:AA52" si="3">F5</f>
        <v>0</v>
      </c>
      <c r="AB5" s="35">
        <f t="shared" ref="AB5:AB52" si="4">H5</f>
        <v>0</v>
      </c>
      <c r="AC5" s="35">
        <f t="shared" ref="AC5:AC36" si="5">SUM(Y5:AB5)</f>
        <v>140</v>
      </c>
      <c r="AD5" s="40">
        <f t="shared" ref="AD5:AD36" si="6">SUM(Y5:Y8)</f>
        <v>257</v>
      </c>
      <c r="AE5" s="35" t="s">
        <v>16</v>
      </c>
      <c r="AF5" s="40">
        <f t="shared" ref="AF5:AF36" si="7">SUM(Z5:Z8)</f>
        <v>242</v>
      </c>
      <c r="AG5" s="35" t="s">
        <v>16</v>
      </c>
      <c r="AH5" s="40">
        <f t="shared" ref="AH5:AH36" si="8">SUM(AA5:AA8)</f>
        <v>0</v>
      </c>
      <c r="AI5" s="35" t="s">
        <v>16</v>
      </c>
      <c r="AJ5" s="40">
        <f t="shared" ref="AJ5:AJ36" si="9">SUM(AB5:AB8)</f>
        <v>0</v>
      </c>
      <c r="AK5" s="35" t="s">
        <v>16</v>
      </c>
      <c r="AL5" s="40">
        <f t="shared" ref="AL5:AL36" si="10">SUM(AD5+AF5+AH5+AJ5)</f>
        <v>499</v>
      </c>
      <c r="AM5" s="60" t="s">
        <v>16</v>
      </c>
    </row>
    <row r="6" spans="1:39" ht="18.75" customHeight="1" x14ac:dyDescent="0.25">
      <c r="A6" s="51">
        <v>1.0416666666666666E-2</v>
      </c>
      <c r="B6" s="109">
        <v>83</v>
      </c>
      <c r="C6" s="18" t="s">
        <v>2</v>
      </c>
      <c r="D6" s="109">
        <v>69</v>
      </c>
      <c r="E6" s="18" t="s">
        <v>2</v>
      </c>
      <c r="F6" s="28"/>
      <c r="G6" s="18" t="s">
        <v>2</v>
      </c>
      <c r="H6" s="28"/>
      <c r="I6" s="18" t="s">
        <v>2</v>
      </c>
      <c r="J6" s="19"/>
      <c r="K6" s="41">
        <v>0.51041666666666663</v>
      </c>
      <c r="L6" s="11"/>
      <c r="M6" s="109">
        <v>362</v>
      </c>
      <c r="N6" s="18" t="s">
        <v>2</v>
      </c>
      <c r="O6" s="109">
        <v>269</v>
      </c>
      <c r="P6" s="18" t="s">
        <v>2</v>
      </c>
      <c r="Q6" s="28"/>
      <c r="R6" s="18" t="s">
        <v>2</v>
      </c>
      <c r="S6" s="28"/>
      <c r="T6" s="18" t="s">
        <v>2</v>
      </c>
      <c r="U6" s="19"/>
      <c r="V6" s="2"/>
      <c r="W6" s="1"/>
      <c r="X6" s="45">
        <f t="shared" si="0"/>
        <v>1.0416666666666666E-2</v>
      </c>
      <c r="Y6" s="35">
        <f t="shared" si="1"/>
        <v>83</v>
      </c>
      <c r="Z6" s="35">
        <f t="shared" si="2"/>
        <v>69</v>
      </c>
      <c r="AA6" s="35">
        <f t="shared" si="3"/>
        <v>0</v>
      </c>
      <c r="AB6" s="35">
        <f t="shared" si="4"/>
        <v>0</v>
      </c>
      <c r="AC6" s="35">
        <f t="shared" si="5"/>
        <v>152</v>
      </c>
      <c r="AD6" s="40">
        <f t="shared" si="6"/>
        <v>226</v>
      </c>
      <c r="AE6" s="40">
        <f>MAX(AD5:AD52)</f>
        <v>1471</v>
      </c>
      <c r="AF6" s="40">
        <f t="shared" si="7"/>
        <v>219</v>
      </c>
      <c r="AG6" s="40">
        <f>MAX(AF5:AF52)</f>
        <v>1126</v>
      </c>
      <c r="AH6" s="40">
        <f t="shared" si="8"/>
        <v>0</v>
      </c>
      <c r="AI6" s="40">
        <f>MAX(AH5:AH52)</f>
        <v>0</v>
      </c>
      <c r="AJ6" s="40">
        <f t="shared" si="9"/>
        <v>0</v>
      </c>
      <c r="AK6" s="40">
        <f>MAX(AJ5:AJ52)</f>
        <v>0</v>
      </c>
      <c r="AL6" s="40">
        <f t="shared" si="10"/>
        <v>445</v>
      </c>
      <c r="AM6" s="97">
        <f>MAX(AL5:AL52)</f>
        <v>2348</v>
      </c>
    </row>
    <row r="7" spans="1:39" ht="18.75" customHeight="1" x14ac:dyDescent="0.25">
      <c r="A7" s="104">
        <v>2.0833333333333301E-2</v>
      </c>
      <c r="B7" s="107">
        <v>53</v>
      </c>
      <c r="C7" s="21" t="s">
        <v>2</v>
      </c>
      <c r="D7" s="107">
        <v>44</v>
      </c>
      <c r="E7" s="21" t="s">
        <v>2</v>
      </c>
      <c r="F7" s="30"/>
      <c r="G7" s="21" t="s">
        <v>2</v>
      </c>
      <c r="H7" s="30"/>
      <c r="I7" s="21" t="s">
        <v>2</v>
      </c>
      <c r="J7" s="105"/>
      <c r="K7" s="106">
        <v>0.52083333333333304</v>
      </c>
      <c r="L7" s="12"/>
      <c r="M7" s="107">
        <v>317</v>
      </c>
      <c r="N7" s="21" t="s">
        <v>2</v>
      </c>
      <c r="O7" s="107">
        <v>282</v>
      </c>
      <c r="P7" s="21" t="s">
        <v>2</v>
      </c>
      <c r="Q7" s="28"/>
      <c r="R7" s="21" t="s">
        <v>2</v>
      </c>
      <c r="S7" s="28"/>
      <c r="T7" s="18" t="s">
        <v>2</v>
      </c>
      <c r="U7" s="19"/>
      <c r="V7" s="2"/>
      <c r="W7" s="1"/>
      <c r="X7" s="45">
        <f t="shared" si="0"/>
        <v>2.0833333333333301E-2</v>
      </c>
      <c r="Y7" s="35">
        <f t="shared" si="1"/>
        <v>53</v>
      </c>
      <c r="Z7" s="35">
        <f t="shared" si="2"/>
        <v>44</v>
      </c>
      <c r="AA7" s="35">
        <f t="shared" si="3"/>
        <v>0</v>
      </c>
      <c r="AB7" s="35">
        <f t="shared" si="4"/>
        <v>0</v>
      </c>
      <c r="AC7" s="35">
        <f t="shared" si="5"/>
        <v>97</v>
      </c>
      <c r="AD7" s="40">
        <f t="shared" si="6"/>
        <v>176</v>
      </c>
      <c r="AE7" s="35" t="s">
        <v>17</v>
      </c>
      <c r="AF7" s="40">
        <f t="shared" si="7"/>
        <v>193</v>
      </c>
      <c r="AG7" s="35" t="s">
        <v>17</v>
      </c>
      <c r="AH7" s="40">
        <f t="shared" si="8"/>
        <v>0</v>
      </c>
      <c r="AI7" s="35" t="s">
        <v>17</v>
      </c>
      <c r="AJ7" s="40">
        <f t="shared" si="9"/>
        <v>0</v>
      </c>
      <c r="AK7" s="35" t="s">
        <v>17</v>
      </c>
      <c r="AL7" s="40">
        <f t="shared" si="10"/>
        <v>369</v>
      </c>
      <c r="AM7" s="60" t="s">
        <v>17</v>
      </c>
    </row>
    <row r="8" spans="1:39" ht="18.75" customHeight="1" x14ac:dyDescent="0.25">
      <c r="A8" s="52">
        <v>3.125E-2</v>
      </c>
      <c r="B8" s="108">
        <v>51</v>
      </c>
      <c r="C8" s="101">
        <f>IF(ISBLANK(B5:B8)," ",SUM(B5:B8))</f>
        <v>257</v>
      </c>
      <c r="D8" s="108">
        <v>59</v>
      </c>
      <c r="E8" s="101">
        <f>IF(ISBLANK(D5:D8)," ",SUM(D5:D8))</f>
        <v>242</v>
      </c>
      <c r="F8" s="102"/>
      <c r="G8" s="101" t="str">
        <f>IF(ISBLANK(F5:F8)," ",SUM(F5:F8))</f>
        <v xml:space="preserve"> </v>
      </c>
      <c r="H8" s="102"/>
      <c r="I8" s="101" t="str">
        <f>IF(ISBLANK(H5:H8)," ",SUM(H5:H8))</f>
        <v xml:space="preserve"> </v>
      </c>
      <c r="J8" s="101">
        <f>IF(SUM(C8,E8,G8,I8)=0," ",SUM(C8,E8,G8,I8))</f>
        <v>499</v>
      </c>
      <c r="K8" s="42">
        <v>0.53125</v>
      </c>
      <c r="L8" s="103"/>
      <c r="M8" s="108">
        <v>351</v>
      </c>
      <c r="N8" s="101">
        <f>IF(ISBLANK(M5:M8)," ",SUM(M5:M8))</f>
        <v>1327</v>
      </c>
      <c r="O8" s="108">
        <v>304</v>
      </c>
      <c r="P8" s="101">
        <f>IF(ISBLANK(O5:O8)," ",SUM(O5:O8))</f>
        <v>1106</v>
      </c>
      <c r="Q8" s="29"/>
      <c r="R8" s="101" t="str">
        <f>IF(ISBLANK(Q5:Q8)," ",SUM(Q5:Q8))</f>
        <v xml:space="preserve"> </v>
      </c>
      <c r="S8" s="29"/>
      <c r="T8" s="20" t="str">
        <f>IF(ISBLANK(S5:S8)," ",SUM(S5:S8))</f>
        <v xml:space="preserve"> </v>
      </c>
      <c r="U8" s="20">
        <f>IF(SUM(N8,P8,R8,T8)=0," ",SUM(N8,P8,R8,T8))</f>
        <v>2433</v>
      </c>
      <c r="V8" s="2"/>
      <c r="W8" s="1"/>
      <c r="X8" s="45">
        <f t="shared" si="0"/>
        <v>3.125E-2</v>
      </c>
      <c r="Y8" s="35">
        <f t="shared" si="1"/>
        <v>51</v>
      </c>
      <c r="Z8" s="35">
        <f t="shared" si="2"/>
        <v>59</v>
      </c>
      <c r="AA8" s="35">
        <f t="shared" si="3"/>
        <v>0</v>
      </c>
      <c r="AB8" s="35">
        <f t="shared" si="4"/>
        <v>0</v>
      </c>
      <c r="AC8" s="35">
        <f t="shared" si="5"/>
        <v>110</v>
      </c>
      <c r="AD8" s="40">
        <f t="shared" si="6"/>
        <v>167</v>
      </c>
      <c r="AE8" s="40">
        <f>MATCH(AE6,AD5:AD53,0)</f>
        <v>31</v>
      </c>
      <c r="AF8" s="40">
        <f t="shared" si="7"/>
        <v>187</v>
      </c>
      <c r="AG8" s="40">
        <f>MATCH(AG6,AF5:AF53,0)</f>
        <v>43</v>
      </c>
      <c r="AH8" s="40">
        <f t="shared" si="8"/>
        <v>0</v>
      </c>
      <c r="AI8" s="40">
        <f>MATCH(AI6,AH5:AH53,0)</f>
        <v>1</v>
      </c>
      <c r="AJ8" s="40">
        <f t="shared" si="9"/>
        <v>0</v>
      </c>
      <c r="AK8" s="40">
        <f>MATCH(AK6,AJ5:AJ53,0)</f>
        <v>1</v>
      </c>
      <c r="AL8" s="40">
        <f t="shared" si="10"/>
        <v>354</v>
      </c>
      <c r="AM8" s="97">
        <f>MATCH(AM6,AL5:AL53,0)</f>
        <v>48</v>
      </c>
    </row>
    <row r="9" spans="1:39" ht="22.5" customHeight="1" x14ac:dyDescent="0.25">
      <c r="A9" s="51">
        <v>4.1666666666666699E-2</v>
      </c>
      <c r="B9" s="109">
        <v>39</v>
      </c>
      <c r="C9" s="18" t="s">
        <v>2</v>
      </c>
      <c r="D9" s="109">
        <v>47</v>
      </c>
      <c r="E9" s="18" t="s">
        <v>2</v>
      </c>
      <c r="F9" s="28"/>
      <c r="G9" s="18" t="s">
        <v>2</v>
      </c>
      <c r="H9" s="28"/>
      <c r="I9" s="18" t="s">
        <v>2</v>
      </c>
      <c r="J9" s="19"/>
      <c r="K9" s="41">
        <v>0.54166666666666696</v>
      </c>
      <c r="L9" s="11"/>
      <c r="M9" s="109">
        <v>357</v>
      </c>
      <c r="N9" s="18" t="s">
        <v>2</v>
      </c>
      <c r="O9" s="109">
        <v>221</v>
      </c>
      <c r="P9" s="18" t="s">
        <v>2</v>
      </c>
      <c r="Q9" s="28"/>
      <c r="R9" s="18" t="s">
        <v>2</v>
      </c>
      <c r="S9" s="28"/>
      <c r="T9" s="18" t="s">
        <v>2</v>
      </c>
      <c r="U9" s="19"/>
      <c r="V9" s="2"/>
      <c r="W9" s="3"/>
      <c r="X9" s="45">
        <f t="shared" si="0"/>
        <v>4.1666666666666699E-2</v>
      </c>
      <c r="Y9" s="35">
        <f t="shared" si="1"/>
        <v>39</v>
      </c>
      <c r="Z9" s="35">
        <f t="shared" si="2"/>
        <v>47</v>
      </c>
      <c r="AA9" s="35">
        <f t="shared" si="3"/>
        <v>0</v>
      </c>
      <c r="AB9" s="35">
        <f t="shared" si="4"/>
        <v>0</v>
      </c>
      <c r="AC9" s="35">
        <f t="shared" si="5"/>
        <v>86</v>
      </c>
      <c r="AD9" s="40">
        <f t="shared" si="6"/>
        <v>149</v>
      </c>
      <c r="AE9" s="35" t="s">
        <v>18</v>
      </c>
      <c r="AF9" s="40">
        <f t="shared" si="7"/>
        <v>159</v>
      </c>
      <c r="AG9" s="35" t="s">
        <v>18</v>
      </c>
      <c r="AH9" s="40">
        <f t="shared" si="8"/>
        <v>0</v>
      </c>
      <c r="AI9" s="35" t="s">
        <v>18</v>
      </c>
      <c r="AJ9" s="40">
        <f t="shared" si="9"/>
        <v>0</v>
      </c>
      <c r="AK9" s="35" t="s">
        <v>18</v>
      </c>
      <c r="AL9" s="40">
        <f t="shared" si="10"/>
        <v>308</v>
      </c>
      <c r="AM9" s="60" t="s">
        <v>18</v>
      </c>
    </row>
    <row r="10" spans="1:39" ht="18.75" customHeight="1" x14ac:dyDescent="0.25">
      <c r="A10" s="51">
        <v>5.2083333333333301E-2</v>
      </c>
      <c r="B10" s="109">
        <v>33</v>
      </c>
      <c r="C10" s="18" t="s">
        <v>2</v>
      </c>
      <c r="D10" s="109">
        <v>43</v>
      </c>
      <c r="E10" s="18" t="s">
        <v>2</v>
      </c>
      <c r="F10" s="28"/>
      <c r="G10" s="18" t="s">
        <v>2</v>
      </c>
      <c r="H10" s="28"/>
      <c r="I10" s="18" t="s">
        <v>2</v>
      </c>
      <c r="J10" s="19"/>
      <c r="K10" s="41">
        <v>0.55208333333333304</v>
      </c>
      <c r="L10" s="11"/>
      <c r="M10" s="109">
        <v>329</v>
      </c>
      <c r="N10" s="18" t="s">
        <v>2</v>
      </c>
      <c r="O10" s="109">
        <v>256</v>
      </c>
      <c r="P10" s="18" t="s">
        <v>2</v>
      </c>
      <c r="Q10" s="28"/>
      <c r="R10" s="18" t="s">
        <v>2</v>
      </c>
      <c r="S10" s="28"/>
      <c r="T10" s="18" t="s">
        <v>2</v>
      </c>
      <c r="U10" s="19"/>
      <c r="V10" s="2"/>
      <c r="W10" s="1" t="s">
        <v>2</v>
      </c>
      <c r="X10" s="45">
        <f t="shared" si="0"/>
        <v>5.2083333333333301E-2</v>
      </c>
      <c r="Y10" s="35">
        <f t="shared" si="1"/>
        <v>33</v>
      </c>
      <c r="Z10" s="35">
        <f t="shared" si="2"/>
        <v>43</v>
      </c>
      <c r="AA10" s="35">
        <f t="shared" si="3"/>
        <v>0</v>
      </c>
      <c r="AB10" s="35">
        <f t="shared" si="4"/>
        <v>0</v>
      </c>
      <c r="AC10" s="35">
        <f t="shared" si="5"/>
        <v>76</v>
      </c>
      <c r="AD10" s="40">
        <f t="shared" si="6"/>
        <v>134</v>
      </c>
      <c r="AE10" s="35" t="s">
        <v>19</v>
      </c>
      <c r="AF10" s="40">
        <f t="shared" si="7"/>
        <v>144</v>
      </c>
      <c r="AG10" s="35" t="s">
        <v>19</v>
      </c>
      <c r="AH10" s="40">
        <f t="shared" si="8"/>
        <v>0</v>
      </c>
      <c r="AI10" s="35" t="s">
        <v>19</v>
      </c>
      <c r="AJ10" s="40">
        <f t="shared" si="9"/>
        <v>0</v>
      </c>
      <c r="AK10" s="35" t="s">
        <v>19</v>
      </c>
      <c r="AL10" s="40">
        <f t="shared" si="10"/>
        <v>278</v>
      </c>
      <c r="AM10" s="60" t="s">
        <v>19</v>
      </c>
    </row>
    <row r="11" spans="1:39" ht="18.75" customHeight="1" x14ac:dyDescent="0.25">
      <c r="A11" s="104">
        <v>6.25E-2</v>
      </c>
      <c r="B11" s="107">
        <v>44</v>
      </c>
      <c r="C11" s="21" t="s">
        <v>2</v>
      </c>
      <c r="D11" s="107">
        <v>38</v>
      </c>
      <c r="E11" s="21" t="s">
        <v>2</v>
      </c>
      <c r="F11" s="30"/>
      <c r="G11" s="21" t="s">
        <v>2</v>
      </c>
      <c r="H11" s="30"/>
      <c r="I11" s="21" t="s">
        <v>2</v>
      </c>
      <c r="J11" s="105"/>
      <c r="K11" s="106">
        <v>0.5625</v>
      </c>
      <c r="L11" s="12"/>
      <c r="M11" s="107">
        <v>344</v>
      </c>
      <c r="N11" s="21" t="s">
        <v>2</v>
      </c>
      <c r="O11" s="107">
        <v>286</v>
      </c>
      <c r="P11" s="21" t="s">
        <v>2</v>
      </c>
      <c r="Q11" s="28"/>
      <c r="R11" s="21" t="s">
        <v>2</v>
      </c>
      <c r="S11" s="28"/>
      <c r="T11" s="18" t="s">
        <v>2</v>
      </c>
      <c r="U11" s="19"/>
      <c r="V11" s="2"/>
      <c r="W11" s="1"/>
      <c r="X11" s="45">
        <f t="shared" si="0"/>
        <v>6.25E-2</v>
      </c>
      <c r="Y11" s="35">
        <f t="shared" si="1"/>
        <v>44</v>
      </c>
      <c r="Z11" s="35">
        <f t="shared" si="2"/>
        <v>38</v>
      </c>
      <c r="AA11" s="35">
        <f t="shared" si="3"/>
        <v>0</v>
      </c>
      <c r="AB11" s="35">
        <f t="shared" si="4"/>
        <v>0</v>
      </c>
      <c r="AC11" s="35">
        <f t="shared" si="5"/>
        <v>82</v>
      </c>
      <c r="AD11" s="40">
        <f t="shared" si="6"/>
        <v>135</v>
      </c>
      <c r="AE11" s="48">
        <f>INDEX($X5:$X53,AE8,$X:$X)</f>
        <v>0.3125</v>
      </c>
      <c r="AF11" s="40">
        <f t="shared" si="7"/>
        <v>139</v>
      </c>
      <c r="AG11" s="48">
        <f>INDEX($X5:$X53,AG8,$X:$X)</f>
        <v>0.4375</v>
      </c>
      <c r="AH11" s="40">
        <f t="shared" si="8"/>
        <v>0</v>
      </c>
      <c r="AI11" s="48">
        <f>INDEX($X5:$X53,AI8,$X:$X)</f>
        <v>0</v>
      </c>
      <c r="AJ11" s="40">
        <f t="shared" si="9"/>
        <v>0</v>
      </c>
      <c r="AK11" s="48">
        <f>INDEX($X5:$X53,AK8,$X:$X)</f>
        <v>0</v>
      </c>
      <c r="AL11" s="40">
        <f t="shared" si="10"/>
        <v>274</v>
      </c>
      <c r="AM11" s="98">
        <f>INDEX($X5:$X53,AM8,$X:$X)</f>
        <v>0.48958333333333298</v>
      </c>
    </row>
    <row r="12" spans="1:39" ht="18.75" customHeight="1" x14ac:dyDescent="0.25">
      <c r="A12" s="52">
        <v>7.2916666666666699E-2</v>
      </c>
      <c r="B12" s="108">
        <v>33</v>
      </c>
      <c r="C12" s="101">
        <f>IF(ISBLANK(B9:B12)," ",SUM(B9:B12))</f>
        <v>149</v>
      </c>
      <c r="D12" s="108">
        <v>31</v>
      </c>
      <c r="E12" s="101">
        <f>IF(ISBLANK(D9:D12)," ",SUM(D9:D12))</f>
        <v>159</v>
      </c>
      <c r="F12" s="102"/>
      <c r="G12" s="101" t="str">
        <f>IF(ISBLANK(F9:F12)," ",SUM(F9:F12))</f>
        <v xml:space="preserve"> </v>
      </c>
      <c r="H12" s="102"/>
      <c r="I12" s="101" t="str">
        <f>IF(ISBLANK(H9:H12)," ",SUM(H9:H12))</f>
        <v xml:space="preserve"> </v>
      </c>
      <c r="J12" s="101">
        <f>IF(SUM(C12,E12,G12,I12)=0," ",SUM(C12,E12,G12,I12))</f>
        <v>308</v>
      </c>
      <c r="K12" s="42">
        <v>0.57291666666666596</v>
      </c>
      <c r="L12" s="103"/>
      <c r="M12" s="108">
        <v>293</v>
      </c>
      <c r="N12" s="101">
        <f>IF(ISBLANK(M9:M12)," ",SUM(M9:M12))</f>
        <v>1323</v>
      </c>
      <c r="O12" s="108">
        <v>243</v>
      </c>
      <c r="P12" s="101">
        <f>IF(ISBLANK(O9:O12)," ",SUM(O9:O12))</f>
        <v>1006</v>
      </c>
      <c r="Q12" s="29"/>
      <c r="R12" s="101" t="str">
        <f>IF(ISBLANK(Q9:Q12)," ",SUM(Q9:Q12))</f>
        <v xml:space="preserve"> </v>
      </c>
      <c r="S12" s="29"/>
      <c r="T12" s="20" t="str">
        <f>IF(ISBLANK(S9:S12)," ",SUM(S9:S12))</f>
        <v xml:space="preserve"> </v>
      </c>
      <c r="U12" s="20">
        <f>IF(SUM(N12,P12,R12,T12)=0," ",SUM(N12,P12,R12,T12))</f>
        <v>2329</v>
      </c>
      <c r="V12" s="2"/>
      <c r="W12" s="1"/>
      <c r="X12" s="45">
        <f t="shared" si="0"/>
        <v>7.2916666666666699E-2</v>
      </c>
      <c r="Y12" s="35">
        <f t="shared" si="1"/>
        <v>33</v>
      </c>
      <c r="Z12" s="35">
        <f t="shared" si="2"/>
        <v>31</v>
      </c>
      <c r="AA12" s="35">
        <f t="shared" si="3"/>
        <v>0</v>
      </c>
      <c r="AB12" s="35">
        <f t="shared" si="4"/>
        <v>0</v>
      </c>
      <c r="AC12" s="35">
        <f t="shared" si="5"/>
        <v>64</v>
      </c>
      <c r="AD12" s="40">
        <f t="shared" si="6"/>
        <v>127</v>
      </c>
      <c r="AE12" s="58">
        <f>INDEX(Y5:Y56,AE8,1)</f>
        <v>339</v>
      </c>
      <c r="AF12" s="40">
        <f t="shared" si="7"/>
        <v>129</v>
      </c>
      <c r="AG12" s="58">
        <f>INDEX(Z5:Z56,AG8,1)</f>
        <v>315</v>
      </c>
      <c r="AH12" s="40">
        <f t="shared" si="8"/>
        <v>0</v>
      </c>
      <c r="AI12" s="58">
        <f>INDEX(AA5:AA56,AI8,1)</f>
        <v>0</v>
      </c>
      <c r="AJ12" s="40">
        <f t="shared" si="9"/>
        <v>0</v>
      </c>
      <c r="AK12" s="58">
        <f>INDEX(AB5:AB56,AK8,1)</f>
        <v>0</v>
      </c>
      <c r="AL12" s="40">
        <f t="shared" si="10"/>
        <v>256</v>
      </c>
      <c r="AM12" s="99">
        <f>INDEX(AC5:AC56,AM8,1)</f>
        <v>570</v>
      </c>
    </row>
    <row r="13" spans="1:39" ht="22.5" customHeight="1" x14ac:dyDescent="0.25">
      <c r="A13" s="51">
        <v>8.3333333333333301E-2</v>
      </c>
      <c r="B13" s="109">
        <v>24</v>
      </c>
      <c r="C13" s="18" t="s">
        <v>2</v>
      </c>
      <c r="D13" s="109">
        <v>32</v>
      </c>
      <c r="E13" s="18" t="s">
        <v>2</v>
      </c>
      <c r="F13" s="28"/>
      <c r="G13" s="18" t="s">
        <v>2</v>
      </c>
      <c r="H13" s="28"/>
      <c r="I13" s="18" t="s">
        <v>2</v>
      </c>
      <c r="J13" s="18" t="s">
        <v>2</v>
      </c>
      <c r="K13" s="41">
        <v>0.58333333333333304</v>
      </c>
      <c r="L13" s="11"/>
      <c r="M13" s="109">
        <v>300</v>
      </c>
      <c r="N13" s="18" t="s">
        <v>2</v>
      </c>
      <c r="O13" s="109">
        <v>260</v>
      </c>
      <c r="P13" s="18" t="s">
        <v>2</v>
      </c>
      <c r="Q13" s="28"/>
      <c r="R13" s="18" t="s">
        <v>2</v>
      </c>
      <c r="S13" s="28"/>
      <c r="T13" s="18" t="s">
        <v>2</v>
      </c>
      <c r="U13" s="18" t="s">
        <v>2</v>
      </c>
      <c r="V13" s="2"/>
      <c r="W13" s="1"/>
      <c r="X13" s="45">
        <f t="shared" si="0"/>
        <v>8.3333333333333301E-2</v>
      </c>
      <c r="Y13" s="35">
        <f t="shared" si="1"/>
        <v>24</v>
      </c>
      <c r="Z13" s="35">
        <f t="shared" si="2"/>
        <v>32</v>
      </c>
      <c r="AA13" s="35">
        <f t="shared" si="3"/>
        <v>0</v>
      </c>
      <c r="AB13" s="35">
        <f t="shared" si="4"/>
        <v>0</v>
      </c>
      <c r="AC13" s="35">
        <f t="shared" si="5"/>
        <v>56</v>
      </c>
      <c r="AD13" s="40">
        <f t="shared" si="6"/>
        <v>115</v>
      </c>
      <c r="AE13" s="58">
        <f>INDEX(Y5:Y56,AE8+1,1)</f>
        <v>388</v>
      </c>
      <c r="AF13" s="40">
        <f t="shared" si="7"/>
        <v>120</v>
      </c>
      <c r="AG13" s="58">
        <f>INDEX(Z5:Z56,AG8+1,1)</f>
        <v>294</v>
      </c>
      <c r="AH13" s="40">
        <f t="shared" si="8"/>
        <v>0</v>
      </c>
      <c r="AI13" s="58">
        <f>INDEX(AA5:AA56,AI8+1,1)</f>
        <v>0</v>
      </c>
      <c r="AJ13" s="40">
        <f t="shared" si="9"/>
        <v>0</v>
      </c>
      <c r="AK13" s="58">
        <f>INDEX(AB5:AB56,AK8+1,1)</f>
        <v>0</v>
      </c>
      <c r="AL13" s="40">
        <f t="shared" si="10"/>
        <v>235</v>
      </c>
      <c r="AM13" s="99">
        <f>INDEX(AC5:AC56,AM8+1,1)</f>
        <v>548</v>
      </c>
    </row>
    <row r="14" spans="1:39" ht="18.75" customHeight="1" x14ac:dyDescent="0.25">
      <c r="A14" s="51">
        <v>9.375E-2</v>
      </c>
      <c r="B14" s="109">
        <v>34</v>
      </c>
      <c r="C14" s="18" t="s">
        <v>2</v>
      </c>
      <c r="D14" s="109">
        <v>38</v>
      </c>
      <c r="E14" s="18" t="s">
        <v>2</v>
      </c>
      <c r="F14" s="28"/>
      <c r="G14" s="18" t="s">
        <v>2</v>
      </c>
      <c r="H14" s="28"/>
      <c r="I14" s="18" t="s">
        <v>2</v>
      </c>
      <c r="J14" s="18" t="s">
        <v>2</v>
      </c>
      <c r="K14" s="41">
        <v>0.59375</v>
      </c>
      <c r="L14" s="11"/>
      <c r="M14" s="109">
        <v>304</v>
      </c>
      <c r="N14" s="18" t="s">
        <v>2</v>
      </c>
      <c r="O14" s="109">
        <v>275</v>
      </c>
      <c r="P14" s="18" t="s">
        <v>2</v>
      </c>
      <c r="Q14" s="28"/>
      <c r="R14" s="18" t="s">
        <v>2</v>
      </c>
      <c r="S14" s="28"/>
      <c r="T14" s="18" t="s">
        <v>2</v>
      </c>
      <c r="U14" s="18" t="s">
        <v>2</v>
      </c>
      <c r="V14" s="2"/>
      <c r="W14" s="1"/>
      <c r="X14" s="45">
        <f t="shared" si="0"/>
        <v>9.375E-2</v>
      </c>
      <c r="Y14" s="35">
        <f t="shared" si="1"/>
        <v>34</v>
      </c>
      <c r="Z14" s="35">
        <f t="shared" si="2"/>
        <v>38</v>
      </c>
      <c r="AA14" s="35">
        <f t="shared" si="3"/>
        <v>0</v>
      </c>
      <c r="AB14" s="35">
        <f t="shared" si="4"/>
        <v>0</v>
      </c>
      <c r="AC14" s="35">
        <f t="shared" si="5"/>
        <v>72</v>
      </c>
      <c r="AD14" s="40">
        <f t="shared" si="6"/>
        <v>112</v>
      </c>
      <c r="AE14" s="58">
        <f>INDEX(Y5:Y56,AE8+2,1)</f>
        <v>382</v>
      </c>
      <c r="AF14" s="40">
        <f t="shared" si="7"/>
        <v>105</v>
      </c>
      <c r="AG14" s="58">
        <f>INDEX(Z5:Z56,AG8+2,1)</f>
        <v>261</v>
      </c>
      <c r="AH14" s="40">
        <f t="shared" si="8"/>
        <v>0</v>
      </c>
      <c r="AI14" s="58">
        <f>INDEX(AA5:AA56,AI8+2,1)</f>
        <v>0</v>
      </c>
      <c r="AJ14" s="40">
        <f t="shared" si="9"/>
        <v>0</v>
      </c>
      <c r="AK14" s="58">
        <f>INDEX(AB5:AB56,AK8+2,1)</f>
        <v>0</v>
      </c>
      <c r="AL14" s="40">
        <f t="shared" si="10"/>
        <v>217</v>
      </c>
      <c r="AM14" s="99">
        <f>INDEX(AC5:AC56,AM8+2,1)</f>
        <v>631</v>
      </c>
    </row>
    <row r="15" spans="1:39" ht="18.75" customHeight="1" x14ac:dyDescent="0.25">
      <c r="A15" s="104">
        <v>0.104166666666667</v>
      </c>
      <c r="B15" s="107">
        <v>36</v>
      </c>
      <c r="C15" s="21" t="s">
        <v>2</v>
      </c>
      <c r="D15" s="107">
        <v>28</v>
      </c>
      <c r="E15" s="21" t="s">
        <v>2</v>
      </c>
      <c r="F15" s="30"/>
      <c r="G15" s="21" t="s">
        <v>2</v>
      </c>
      <c r="H15" s="30"/>
      <c r="I15" s="21" t="s">
        <v>2</v>
      </c>
      <c r="J15" s="21" t="s">
        <v>2</v>
      </c>
      <c r="K15" s="106">
        <v>0.60416666666666596</v>
      </c>
      <c r="L15" s="12"/>
      <c r="M15" s="107">
        <v>269</v>
      </c>
      <c r="N15" s="21" t="s">
        <v>2</v>
      </c>
      <c r="O15" s="107">
        <v>263</v>
      </c>
      <c r="P15" s="21" t="s">
        <v>2</v>
      </c>
      <c r="Q15" s="28"/>
      <c r="R15" s="18" t="s">
        <v>2</v>
      </c>
      <c r="S15" s="28"/>
      <c r="T15" s="18" t="s">
        <v>2</v>
      </c>
      <c r="U15" s="18" t="s">
        <v>2</v>
      </c>
      <c r="V15" s="2"/>
      <c r="W15" s="1"/>
      <c r="X15" s="45">
        <f t="shared" si="0"/>
        <v>0.104166666666667</v>
      </c>
      <c r="Y15" s="35">
        <f t="shared" si="1"/>
        <v>36</v>
      </c>
      <c r="Z15" s="35">
        <f t="shared" si="2"/>
        <v>28</v>
      </c>
      <c r="AA15" s="35">
        <f t="shared" si="3"/>
        <v>0</v>
      </c>
      <c r="AB15" s="35">
        <f t="shared" si="4"/>
        <v>0</v>
      </c>
      <c r="AC15" s="35">
        <f t="shared" si="5"/>
        <v>64</v>
      </c>
      <c r="AD15" s="40">
        <f t="shared" si="6"/>
        <v>105</v>
      </c>
      <c r="AE15" s="58">
        <f>INDEX(Y5:Y56,AE8+3,1)</f>
        <v>362</v>
      </c>
      <c r="AF15" s="40">
        <f t="shared" si="7"/>
        <v>80</v>
      </c>
      <c r="AG15" s="58">
        <f>INDEX(Z5:Z56,AG8+3,1)</f>
        <v>256</v>
      </c>
      <c r="AH15" s="40">
        <f t="shared" si="8"/>
        <v>0</v>
      </c>
      <c r="AI15" s="58">
        <f>INDEX(AA5:AA56,AI8+3,1)</f>
        <v>0</v>
      </c>
      <c r="AJ15" s="40">
        <f t="shared" si="9"/>
        <v>0</v>
      </c>
      <c r="AK15" s="58">
        <f>INDEX(AB5:AB56,AK8+3,1)</f>
        <v>0</v>
      </c>
      <c r="AL15" s="40">
        <f t="shared" si="10"/>
        <v>185</v>
      </c>
      <c r="AM15" s="99">
        <f>INDEX(AC5:AC56,AM8+3,1)</f>
        <v>599</v>
      </c>
    </row>
    <row r="16" spans="1:39" ht="18.75" customHeight="1" x14ac:dyDescent="0.25">
      <c r="A16" s="52">
        <v>0.114583333333333</v>
      </c>
      <c r="B16" s="108">
        <v>21</v>
      </c>
      <c r="C16" s="101">
        <f>IF(ISBLANK(B13:B16)," ",SUM(B13:B16))</f>
        <v>115</v>
      </c>
      <c r="D16" s="108">
        <v>22</v>
      </c>
      <c r="E16" s="101">
        <f>IF(ISBLANK(D13:D16)," ",SUM(D13:D16))</f>
        <v>120</v>
      </c>
      <c r="F16" s="102"/>
      <c r="G16" s="101" t="str">
        <f>IF(ISBLANK(F13:F16)," ",SUM(F13:F16))</f>
        <v xml:space="preserve"> </v>
      </c>
      <c r="H16" s="102"/>
      <c r="I16" s="101" t="str">
        <f>IF(ISBLANK(H13:H16)," ",SUM(H13:H16))</f>
        <v xml:space="preserve"> </v>
      </c>
      <c r="J16" s="101">
        <f>IF(SUM(C16,E16,G16,I16)=0," ",SUM(C16,E16,G16,I16))</f>
        <v>235</v>
      </c>
      <c r="K16" s="42">
        <v>0.61458333333333304</v>
      </c>
      <c r="L16" s="103"/>
      <c r="M16" s="108">
        <v>263</v>
      </c>
      <c r="N16" s="101">
        <f>IF(ISBLANK(M13:M16)," ",SUM(M13:M16))</f>
        <v>1136</v>
      </c>
      <c r="O16" s="108">
        <v>290</v>
      </c>
      <c r="P16" s="101">
        <f>IF(ISBLANK(O13:O16)," ",SUM(O13:O16))</f>
        <v>1088</v>
      </c>
      <c r="Q16" s="29"/>
      <c r="R16" s="20" t="str">
        <f>IF(ISBLANK(Q13:Q16)," ",SUM(Q13:Q16))</f>
        <v xml:space="preserve"> </v>
      </c>
      <c r="S16" s="29"/>
      <c r="T16" s="20" t="str">
        <f>IF(ISBLANK(S13:S16)," ",SUM(S13:S16))</f>
        <v xml:space="preserve"> </v>
      </c>
      <c r="U16" s="20">
        <f>IF(SUM(N16,P16,R16,T16)=0," ",SUM(N16,P16,R16,T16))</f>
        <v>2224</v>
      </c>
      <c r="V16" s="2"/>
      <c r="W16" s="1"/>
      <c r="X16" s="45">
        <f t="shared" si="0"/>
        <v>0.114583333333333</v>
      </c>
      <c r="Y16" s="35">
        <f t="shared" si="1"/>
        <v>21</v>
      </c>
      <c r="Z16" s="35">
        <f t="shared" si="2"/>
        <v>22</v>
      </c>
      <c r="AA16" s="35">
        <f t="shared" si="3"/>
        <v>0</v>
      </c>
      <c r="AB16" s="35">
        <f t="shared" si="4"/>
        <v>0</v>
      </c>
      <c r="AC16" s="35">
        <f t="shared" si="5"/>
        <v>43</v>
      </c>
      <c r="AD16" s="40">
        <f t="shared" si="6"/>
        <v>91</v>
      </c>
      <c r="AE16" s="58" t="s">
        <v>24</v>
      </c>
      <c r="AF16" s="40">
        <f t="shared" si="7"/>
        <v>78</v>
      </c>
      <c r="AG16" s="40" t="s">
        <v>24</v>
      </c>
      <c r="AH16" s="40">
        <f t="shared" si="8"/>
        <v>0</v>
      </c>
      <c r="AI16" s="40" t="s">
        <v>24</v>
      </c>
      <c r="AJ16" s="40">
        <f t="shared" si="9"/>
        <v>0</v>
      </c>
      <c r="AK16" s="40" t="s">
        <v>24</v>
      </c>
      <c r="AL16" s="40">
        <f t="shared" si="10"/>
        <v>169</v>
      </c>
      <c r="AM16" s="97" t="s">
        <v>24</v>
      </c>
    </row>
    <row r="17" spans="1:39" ht="22.5" customHeight="1" x14ac:dyDescent="0.25">
      <c r="A17" s="51">
        <v>0.125</v>
      </c>
      <c r="B17" s="109">
        <v>21</v>
      </c>
      <c r="C17" s="18" t="s">
        <v>2</v>
      </c>
      <c r="D17" s="109">
        <v>17</v>
      </c>
      <c r="E17" s="18" t="s">
        <v>2</v>
      </c>
      <c r="F17" s="28"/>
      <c r="G17" s="18" t="s">
        <v>2</v>
      </c>
      <c r="H17" s="28"/>
      <c r="I17" s="18" t="s">
        <v>2</v>
      </c>
      <c r="J17" s="18" t="s">
        <v>2</v>
      </c>
      <c r="K17" s="41">
        <v>0.625</v>
      </c>
      <c r="L17" s="11"/>
      <c r="M17" s="109">
        <v>318</v>
      </c>
      <c r="N17" s="18" t="s">
        <v>2</v>
      </c>
      <c r="O17" s="109">
        <v>319</v>
      </c>
      <c r="P17" s="18" t="s">
        <v>2</v>
      </c>
      <c r="Q17" s="28"/>
      <c r="R17" s="18" t="s">
        <v>2</v>
      </c>
      <c r="S17" s="28"/>
      <c r="T17" s="18" t="s">
        <v>2</v>
      </c>
      <c r="U17" s="18" t="s">
        <v>2</v>
      </c>
      <c r="V17" s="2"/>
      <c r="W17" s="1"/>
      <c r="X17" s="45">
        <f t="shared" si="0"/>
        <v>0.125</v>
      </c>
      <c r="Y17" s="35">
        <f t="shared" si="1"/>
        <v>21</v>
      </c>
      <c r="Z17" s="35">
        <f t="shared" si="2"/>
        <v>17</v>
      </c>
      <c r="AA17" s="35">
        <f t="shared" si="3"/>
        <v>0</v>
      </c>
      <c r="AB17" s="35">
        <f t="shared" si="4"/>
        <v>0</v>
      </c>
      <c r="AC17" s="35">
        <f t="shared" si="5"/>
        <v>38</v>
      </c>
      <c r="AD17" s="40">
        <f t="shared" si="6"/>
        <v>98</v>
      </c>
      <c r="AE17" s="58">
        <f>IF(AE12+AE13+AE14+AE15&lt;&gt;0,MAX(AE12:AE15),0)</f>
        <v>388</v>
      </c>
      <c r="AF17" s="40">
        <f t="shared" si="7"/>
        <v>79</v>
      </c>
      <c r="AG17" s="40">
        <f>IF(AG12+AG13+AG14+AG15&lt;&gt;0,MAX(AG12:AG15)," ")</f>
        <v>315</v>
      </c>
      <c r="AH17" s="40">
        <f t="shared" si="8"/>
        <v>0</v>
      </c>
      <c r="AI17" s="40" t="str">
        <f>IF(AI12+AI13+AI14+AI15&lt;&gt;0,MAX(AI12:AI15)," ")</f>
        <v xml:space="preserve"> </v>
      </c>
      <c r="AJ17" s="40">
        <f t="shared" si="9"/>
        <v>0</v>
      </c>
      <c r="AK17" s="40" t="str">
        <f>IF(AK12+AK13+AK14+AK15&lt;&gt;0,MAX(AK12:AK15)," ")</f>
        <v xml:space="preserve"> </v>
      </c>
      <c r="AL17" s="40">
        <f t="shared" si="10"/>
        <v>177</v>
      </c>
      <c r="AM17" s="97">
        <f>IF(AM12+AM13+AM14+AM15&lt;&gt;0,MAX(AM12:AM15)," ")</f>
        <v>631</v>
      </c>
    </row>
    <row r="18" spans="1:39" ht="18.75" customHeight="1" x14ac:dyDescent="0.25">
      <c r="A18" s="51">
        <v>0.13541666666666699</v>
      </c>
      <c r="B18" s="109">
        <v>27</v>
      </c>
      <c r="C18" s="18" t="s">
        <v>2</v>
      </c>
      <c r="D18" s="109">
        <v>13</v>
      </c>
      <c r="E18" s="18" t="s">
        <v>2</v>
      </c>
      <c r="F18" s="28"/>
      <c r="G18" s="18" t="s">
        <v>2</v>
      </c>
      <c r="H18" s="28"/>
      <c r="I18" s="18" t="s">
        <v>2</v>
      </c>
      <c r="J18" s="18" t="s">
        <v>2</v>
      </c>
      <c r="K18" s="41">
        <v>0.63541666666666596</v>
      </c>
      <c r="L18" s="11"/>
      <c r="M18" s="109">
        <v>324</v>
      </c>
      <c r="N18" s="18" t="s">
        <v>2</v>
      </c>
      <c r="O18" s="109">
        <v>324</v>
      </c>
      <c r="P18" s="18" t="s">
        <v>2</v>
      </c>
      <c r="Q18" s="28"/>
      <c r="R18" s="18" t="s">
        <v>2</v>
      </c>
      <c r="S18" s="28"/>
      <c r="T18" s="18" t="s">
        <v>2</v>
      </c>
      <c r="U18" s="18" t="s">
        <v>2</v>
      </c>
      <c r="V18" s="2"/>
      <c r="W18" s="1"/>
      <c r="X18" s="45">
        <f t="shared" si="0"/>
        <v>0.13541666666666699</v>
      </c>
      <c r="Y18" s="35">
        <f t="shared" si="1"/>
        <v>27</v>
      </c>
      <c r="Z18" s="35">
        <f t="shared" si="2"/>
        <v>13</v>
      </c>
      <c r="AA18" s="35">
        <f t="shared" si="3"/>
        <v>0</v>
      </c>
      <c r="AB18" s="35">
        <f t="shared" si="4"/>
        <v>0</v>
      </c>
      <c r="AC18" s="35">
        <f t="shared" si="5"/>
        <v>40</v>
      </c>
      <c r="AD18" s="40">
        <f t="shared" si="6"/>
        <v>105</v>
      </c>
      <c r="AE18" s="40"/>
      <c r="AF18" s="40">
        <f t="shared" si="7"/>
        <v>84</v>
      </c>
      <c r="AG18" s="40"/>
      <c r="AH18" s="40">
        <f t="shared" si="8"/>
        <v>0</v>
      </c>
      <c r="AI18" s="40"/>
      <c r="AJ18" s="40">
        <f t="shared" si="9"/>
        <v>0</v>
      </c>
      <c r="AK18" s="40"/>
      <c r="AL18" s="40">
        <f t="shared" si="10"/>
        <v>189</v>
      </c>
      <c r="AM18" s="97"/>
    </row>
    <row r="19" spans="1:39" ht="18.75" customHeight="1" x14ac:dyDescent="0.25">
      <c r="A19" s="51">
        <v>0.14583333333333301</v>
      </c>
      <c r="B19" s="109">
        <v>22</v>
      </c>
      <c r="C19" s="18" t="s">
        <v>2</v>
      </c>
      <c r="D19" s="109">
        <v>26</v>
      </c>
      <c r="E19" s="18" t="s">
        <v>2</v>
      </c>
      <c r="F19" s="28"/>
      <c r="G19" s="18" t="s">
        <v>2</v>
      </c>
      <c r="H19" s="28"/>
      <c r="I19" s="18" t="s">
        <v>2</v>
      </c>
      <c r="J19" s="18" t="s">
        <v>2</v>
      </c>
      <c r="K19" s="41">
        <v>0.64583333333333304</v>
      </c>
      <c r="L19" s="11"/>
      <c r="M19" s="109">
        <v>400</v>
      </c>
      <c r="N19" s="18" t="s">
        <v>2</v>
      </c>
      <c r="O19" s="109">
        <v>384</v>
      </c>
      <c r="P19" s="18" t="s">
        <v>2</v>
      </c>
      <c r="Q19" s="28"/>
      <c r="R19" s="18" t="s">
        <v>2</v>
      </c>
      <c r="S19" s="28"/>
      <c r="T19" s="18" t="s">
        <v>2</v>
      </c>
      <c r="U19" s="18" t="s">
        <v>2</v>
      </c>
      <c r="V19" s="2"/>
      <c r="W19" s="1"/>
      <c r="X19" s="45">
        <f t="shared" si="0"/>
        <v>0.14583333333333301</v>
      </c>
      <c r="Y19" s="35">
        <f t="shared" si="1"/>
        <v>22</v>
      </c>
      <c r="Z19" s="35">
        <f t="shared" si="2"/>
        <v>26</v>
      </c>
      <c r="AA19" s="35">
        <f t="shared" si="3"/>
        <v>0</v>
      </c>
      <c r="AB19" s="35">
        <f t="shared" si="4"/>
        <v>0</v>
      </c>
      <c r="AC19" s="35">
        <f t="shared" si="5"/>
        <v>48</v>
      </c>
      <c r="AD19" s="40">
        <f t="shared" si="6"/>
        <v>105</v>
      </c>
      <c r="AE19" s="40" t="s">
        <v>25</v>
      </c>
      <c r="AF19" s="40">
        <f t="shared" si="7"/>
        <v>99</v>
      </c>
      <c r="AG19" s="40" t="s">
        <v>25</v>
      </c>
      <c r="AH19" s="40">
        <f t="shared" si="8"/>
        <v>0</v>
      </c>
      <c r="AI19" s="40" t="s">
        <v>25</v>
      </c>
      <c r="AJ19" s="40">
        <f t="shared" si="9"/>
        <v>0</v>
      </c>
      <c r="AK19" s="40" t="s">
        <v>25</v>
      </c>
      <c r="AL19" s="40">
        <f t="shared" si="10"/>
        <v>204</v>
      </c>
      <c r="AM19" s="97" t="s">
        <v>25</v>
      </c>
    </row>
    <row r="20" spans="1:39" ht="18.75" customHeight="1" x14ac:dyDescent="0.25">
      <c r="A20" s="52">
        <v>0.15625</v>
      </c>
      <c r="B20" s="108">
        <v>28</v>
      </c>
      <c r="C20" s="101">
        <f>IF(ISBLANK(B17:B20)," ",SUM(B17:B20))</f>
        <v>98</v>
      </c>
      <c r="D20" s="108">
        <v>23</v>
      </c>
      <c r="E20" s="101">
        <f>IF(ISBLANK(D17:D20)," ",SUM(D17:D20))</f>
        <v>79</v>
      </c>
      <c r="F20" s="102"/>
      <c r="G20" s="101" t="str">
        <f>IF(ISBLANK(F17:F20)," ",SUM(F17:F20))</f>
        <v xml:space="preserve"> </v>
      </c>
      <c r="H20" s="102"/>
      <c r="I20" s="101" t="str">
        <f>IF(ISBLANK(H17:H20)," ",SUM(H17:H20))</f>
        <v xml:space="preserve"> </v>
      </c>
      <c r="J20" s="101">
        <f>IF(SUM(C20,E20,G20,I20)=0," ",SUM(C20,E20,G20,I20))</f>
        <v>177</v>
      </c>
      <c r="K20" s="42">
        <v>0.656249999999999</v>
      </c>
      <c r="L20" s="103"/>
      <c r="M20" s="108">
        <v>365</v>
      </c>
      <c r="N20" s="101">
        <f>IF(ISBLANK(M17:M20)," ",SUM(M17:M20))</f>
        <v>1407</v>
      </c>
      <c r="O20" s="108">
        <v>478</v>
      </c>
      <c r="P20" s="101">
        <f>IF(ISBLANK(O17:O20)," ",SUM(O17:O20))</f>
        <v>1505</v>
      </c>
      <c r="Q20" s="29"/>
      <c r="R20" s="101" t="str">
        <f>IF(ISBLANK(Q17:Q20)," ",SUM(Q17:Q20))</f>
        <v xml:space="preserve"> </v>
      </c>
      <c r="S20" s="29"/>
      <c r="T20" s="20" t="str">
        <f>IF(ISBLANK(S17:S20)," ",SUM(S17:S20))</f>
        <v xml:space="preserve"> </v>
      </c>
      <c r="U20" s="20">
        <f>IF(SUM(N20,P20,R20,T20)=0," ",SUM(N20,P20,R20,T20))</f>
        <v>2912</v>
      </c>
      <c r="V20" s="2"/>
      <c r="W20" s="1"/>
      <c r="X20" s="45">
        <f t="shared" si="0"/>
        <v>0.15625</v>
      </c>
      <c r="Y20" s="35">
        <f t="shared" si="1"/>
        <v>28</v>
      </c>
      <c r="Z20" s="35">
        <f t="shared" si="2"/>
        <v>23</v>
      </c>
      <c r="AA20" s="35">
        <f t="shared" si="3"/>
        <v>0</v>
      </c>
      <c r="AB20" s="35">
        <f t="shared" si="4"/>
        <v>0</v>
      </c>
      <c r="AC20" s="35">
        <f t="shared" si="5"/>
        <v>51</v>
      </c>
      <c r="AD20" s="40">
        <f t="shared" si="6"/>
        <v>130</v>
      </c>
      <c r="AE20" s="59">
        <f>IF(SUM(AE12:AE15)=0,0,(SUM(AE12:AE15)/(AE17*4)))</f>
        <v>0.94780927835051543</v>
      </c>
      <c r="AF20" s="40">
        <f t="shared" si="7"/>
        <v>124</v>
      </c>
      <c r="AG20" s="59">
        <f>IF(SUM(AG12:AG15)=0,0,(SUM(AG12:AG15)/(AG17*4)))</f>
        <v>0.8936507936507937</v>
      </c>
      <c r="AH20" s="40">
        <f t="shared" si="8"/>
        <v>0</v>
      </c>
      <c r="AI20" s="59">
        <f>IF(SUM(AI12:AI15)=0,0,(SUM(AI12:AI15)/(AI17*4)))</f>
        <v>0</v>
      </c>
      <c r="AJ20" s="40">
        <f t="shared" si="9"/>
        <v>0</v>
      </c>
      <c r="AK20" s="59">
        <f>IF(SUM(AK12:AK15)=0,0,(SUM(AK12:AK15)/(AK17*4)))</f>
        <v>0</v>
      </c>
      <c r="AL20" s="40">
        <f t="shared" si="10"/>
        <v>254</v>
      </c>
      <c r="AM20" s="100">
        <f>IF(SUM(AM12:AM15)=0,0,(SUM(AM12:AM15)/(AM17*4)))</f>
        <v>0.93026941362916005</v>
      </c>
    </row>
    <row r="21" spans="1:39" ht="22.5" customHeight="1" x14ac:dyDescent="0.25">
      <c r="A21" s="51">
        <v>0.16666666666666699</v>
      </c>
      <c r="B21" s="109">
        <v>28</v>
      </c>
      <c r="C21" s="18" t="s">
        <v>2</v>
      </c>
      <c r="D21" s="109">
        <v>22</v>
      </c>
      <c r="E21" s="18" t="s">
        <v>2</v>
      </c>
      <c r="F21" s="28"/>
      <c r="G21" s="18" t="s">
        <v>2</v>
      </c>
      <c r="H21" s="28"/>
      <c r="I21" s="18" t="s">
        <v>2</v>
      </c>
      <c r="J21" s="18" t="s">
        <v>2</v>
      </c>
      <c r="K21" s="41">
        <v>0.66666666666666596</v>
      </c>
      <c r="L21" s="11"/>
      <c r="M21" s="109">
        <v>328</v>
      </c>
      <c r="N21" s="18" t="s">
        <v>2</v>
      </c>
      <c r="O21" s="109">
        <v>456</v>
      </c>
      <c r="P21" s="18" t="s">
        <v>2</v>
      </c>
      <c r="Q21" s="109"/>
      <c r="R21" s="18" t="s">
        <v>2</v>
      </c>
      <c r="S21" s="28"/>
      <c r="T21" s="18" t="s">
        <v>2</v>
      </c>
      <c r="U21" s="18" t="s">
        <v>2</v>
      </c>
      <c r="V21" s="2"/>
      <c r="W21" s="1"/>
      <c r="X21" s="45">
        <f t="shared" si="0"/>
        <v>0.16666666666666699</v>
      </c>
      <c r="Y21" s="35">
        <f t="shared" si="1"/>
        <v>28</v>
      </c>
      <c r="Z21" s="35">
        <f t="shared" si="2"/>
        <v>22</v>
      </c>
      <c r="AA21" s="35">
        <f t="shared" si="3"/>
        <v>0</v>
      </c>
      <c r="AB21" s="35">
        <f t="shared" si="4"/>
        <v>0</v>
      </c>
      <c r="AC21" s="35">
        <f t="shared" si="5"/>
        <v>50</v>
      </c>
      <c r="AD21" s="40">
        <f t="shared" si="6"/>
        <v>156</v>
      </c>
      <c r="AE21" s="40"/>
      <c r="AF21" s="40">
        <f t="shared" si="7"/>
        <v>166</v>
      </c>
      <c r="AG21" s="40"/>
      <c r="AH21" s="40">
        <f t="shared" si="8"/>
        <v>0</v>
      </c>
      <c r="AI21" s="40"/>
      <c r="AJ21" s="40">
        <f t="shared" si="9"/>
        <v>0</v>
      </c>
      <c r="AK21" s="40"/>
      <c r="AL21" s="40">
        <f t="shared" si="10"/>
        <v>322</v>
      </c>
      <c r="AM21" s="97"/>
    </row>
    <row r="22" spans="1:39" ht="18.75" customHeight="1" x14ac:dyDescent="0.25">
      <c r="A22" s="51">
        <v>0.17708333333333301</v>
      </c>
      <c r="B22" s="109">
        <v>27</v>
      </c>
      <c r="C22" s="18" t="s">
        <v>2</v>
      </c>
      <c r="D22" s="109">
        <v>28</v>
      </c>
      <c r="E22" s="18" t="s">
        <v>2</v>
      </c>
      <c r="F22" s="28"/>
      <c r="G22" s="18" t="s">
        <v>2</v>
      </c>
      <c r="H22" s="28"/>
      <c r="I22" s="18" t="s">
        <v>2</v>
      </c>
      <c r="J22" s="18" t="s">
        <v>2</v>
      </c>
      <c r="K22" s="41">
        <v>0.67708333333333304</v>
      </c>
      <c r="L22" s="11"/>
      <c r="M22" s="109">
        <v>272</v>
      </c>
      <c r="N22" s="18" t="s">
        <v>2</v>
      </c>
      <c r="O22" s="109">
        <v>379</v>
      </c>
      <c r="P22" s="18" t="s">
        <v>2</v>
      </c>
      <c r="Q22" s="109"/>
      <c r="R22" s="18" t="s">
        <v>2</v>
      </c>
      <c r="S22" s="28"/>
      <c r="T22" s="18" t="s">
        <v>2</v>
      </c>
      <c r="U22" s="18" t="s">
        <v>2</v>
      </c>
      <c r="V22" s="2"/>
      <c r="W22" s="1"/>
      <c r="X22" s="45">
        <f t="shared" si="0"/>
        <v>0.17708333333333301</v>
      </c>
      <c r="Y22" s="35">
        <f t="shared" si="1"/>
        <v>27</v>
      </c>
      <c r="Z22" s="35">
        <f t="shared" si="2"/>
        <v>28</v>
      </c>
      <c r="AA22" s="35">
        <f t="shared" si="3"/>
        <v>0</v>
      </c>
      <c r="AB22" s="35">
        <f t="shared" si="4"/>
        <v>0</v>
      </c>
      <c r="AC22" s="35">
        <f t="shared" si="5"/>
        <v>55</v>
      </c>
      <c r="AD22" s="40">
        <f t="shared" si="6"/>
        <v>176</v>
      </c>
      <c r="AE22" s="40"/>
      <c r="AF22" s="40">
        <f t="shared" si="7"/>
        <v>190</v>
      </c>
      <c r="AG22" s="40"/>
      <c r="AH22" s="40">
        <f t="shared" si="8"/>
        <v>0</v>
      </c>
      <c r="AI22" s="40"/>
      <c r="AJ22" s="40">
        <f t="shared" si="9"/>
        <v>0</v>
      </c>
      <c r="AK22" s="40"/>
      <c r="AL22" s="40">
        <f t="shared" si="10"/>
        <v>366</v>
      </c>
      <c r="AM22" s="97"/>
    </row>
    <row r="23" spans="1:39" ht="18.75" customHeight="1" x14ac:dyDescent="0.25">
      <c r="A23" s="104">
        <v>0.1875</v>
      </c>
      <c r="B23" s="107">
        <v>47</v>
      </c>
      <c r="C23" s="21" t="s">
        <v>2</v>
      </c>
      <c r="D23" s="107">
        <v>51</v>
      </c>
      <c r="E23" s="21" t="s">
        <v>2</v>
      </c>
      <c r="F23" s="30"/>
      <c r="G23" s="21" t="s">
        <v>2</v>
      </c>
      <c r="H23" s="30"/>
      <c r="I23" s="21" t="s">
        <v>2</v>
      </c>
      <c r="J23" s="21" t="s">
        <v>2</v>
      </c>
      <c r="K23" s="106">
        <v>0.687499999999999</v>
      </c>
      <c r="L23" s="12"/>
      <c r="M23" s="107">
        <v>341</v>
      </c>
      <c r="N23" s="21" t="s">
        <v>2</v>
      </c>
      <c r="O23" s="107">
        <v>368</v>
      </c>
      <c r="P23" s="21" t="s">
        <v>2</v>
      </c>
      <c r="Q23" s="107"/>
      <c r="R23" s="18" t="s">
        <v>2</v>
      </c>
      <c r="S23" s="28"/>
      <c r="T23" s="18" t="s">
        <v>2</v>
      </c>
      <c r="U23" s="18" t="s">
        <v>2</v>
      </c>
      <c r="V23" s="2"/>
      <c r="W23" s="1"/>
      <c r="X23" s="45">
        <f t="shared" si="0"/>
        <v>0.1875</v>
      </c>
      <c r="Y23" s="35">
        <f t="shared" si="1"/>
        <v>47</v>
      </c>
      <c r="Z23" s="35">
        <f t="shared" si="2"/>
        <v>51</v>
      </c>
      <c r="AA23" s="35">
        <f t="shared" si="3"/>
        <v>0</v>
      </c>
      <c r="AB23" s="35">
        <f t="shared" si="4"/>
        <v>0</v>
      </c>
      <c r="AC23" s="35">
        <f t="shared" si="5"/>
        <v>98</v>
      </c>
      <c r="AD23" s="40">
        <f t="shared" si="6"/>
        <v>217</v>
      </c>
      <c r="AE23" s="40"/>
      <c r="AF23" s="40">
        <f t="shared" si="7"/>
        <v>225</v>
      </c>
      <c r="AG23" s="40"/>
      <c r="AH23" s="40">
        <f t="shared" si="8"/>
        <v>0</v>
      </c>
      <c r="AI23" s="40"/>
      <c r="AJ23" s="40">
        <f t="shared" si="9"/>
        <v>0</v>
      </c>
      <c r="AK23" s="40"/>
      <c r="AL23" s="40">
        <f t="shared" si="10"/>
        <v>442</v>
      </c>
      <c r="AM23" s="97"/>
    </row>
    <row r="24" spans="1:39" ht="18.75" customHeight="1" x14ac:dyDescent="0.25">
      <c r="A24" s="52">
        <v>0.19791666666666699</v>
      </c>
      <c r="B24" s="108">
        <v>54</v>
      </c>
      <c r="C24" s="101">
        <f>IF(ISBLANK(B21:B24)," ",SUM(B21:B24))</f>
        <v>156</v>
      </c>
      <c r="D24" s="108">
        <v>65</v>
      </c>
      <c r="E24" s="101">
        <f>IF(ISBLANK(D21:D24)," ",SUM(D21:D24))</f>
        <v>166</v>
      </c>
      <c r="F24" s="102"/>
      <c r="G24" s="101" t="str">
        <f>IF(ISBLANK(F21:F24)," ",SUM(F21:F24))</f>
        <v xml:space="preserve"> </v>
      </c>
      <c r="H24" s="102"/>
      <c r="I24" s="101" t="str">
        <f>IF(ISBLANK(H21:H24)," ",SUM(H21:H24))</f>
        <v xml:space="preserve"> </v>
      </c>
      <c r="J24" s="101">
        <f>IF(SUM(C24,E24,G24,I24)=0," ",SUM(C24,E24,G24,I24))</f>
        <v>322</v>
      </c>
      <c r="K24" s="42">
        <v>0.69791666666666596</v>
      </c>
      <c r="L24" s="103"/>
      <c r="M24" s="108">
        <v>356</v>
      </c>
      <c r="N24" s="101">
        <f>IF(ISBLANK(M21:M24)," ",SUM(M21:M24))</f>
        <v>1297</v>
      </c>
      <c r="O24" s="108">
        <v>355</v>
      </c>
      <c r="P24" s="101">
        <f>IF(ISBLANK(O21:O24)," ",SUM(O21:O24))</f>
        <v>1558</v>
      </c>
      <c r="Q24" s="108"/>
      <c r="R24" s="20" t="str">
        <f>IF(ISBLANK(Q21:Q24)," ",SUM(Q21:Q24))</f>
        <v xml:space="preserve"> </v>
      </c>
      <c r="S24" s="29"/>
      <c r="T24" s="20" t="str">
        <f>IF(ISBLANK(S21:S24)," ",SUM(S21:S24))</f>
        <v xml:space="preserve"> </v>
      </c>
      <c r="U24" s="20">
        <f>IF(SUM(N24,P24,R24,T24)=0," ",SUM(N24,P24,R24,T24))</f>
        <v>2855</v>
      </c>
      <c r="V24" s="2"/>
      <c r="W24" s="1"/>
      <c r="X24" s="45">
        <f t="shared" si="0"/>
        <v>0.19791666666666699</v>
      </c>
      <c r="Y24" s="35">
        <f t="shared" si="1"/>
        <v>54</v>
      </c>
      <c r="Z24" s="35">
        <f t="shared" si="2"/>
        <v>65</v>
      </c>
      <c r="AA24" s="35">
        <f t="shared" si="3"/>
        <v>0</v>
      </c>
      <c r="AB24" s="35">
        <f t="shared" si="4"/>
        <v>0</v>
      </c>
      <c r="AC24" s="35">
        <f t="shared" si="5"/>
        <v>119</v>
      </c>
      <c r="AD24" s="40">
        <f t="shared" si="6"/>
        <v>248</v>
      </c>
      <c r="AE24" s="40"/>
      <c r="AF24" s="40">
        <f t="shared" si="7"/>
        <v>261</v>
      </c>
      <c r="AG24" s="40"/>
      <c r="AH24" s="40">
        <f t="shared" si="8"/>
        <v>0</v>
      </c>
      <c r="AI24" s="40"/>
      <c r="AJ24" s="40">
        <f t="shared" si="9"/>
        <v>0</v>
      </c>
      <c r="AK24" s="40"/>
      <c r="AL24" s="40">
        <f t="shared" si="10"/>
        <v>509</v>
      </c>
      <c r="AM24" s="97"/>
    </row>
    <row r="25" spans="1:39" ht="22.5" customHeight="1" x14ac:dyDescent="0.25">
      <c r="A25" s="51">
        <v>0.20833333333333301</v>
      </c>
      <c r="B25" s="109">
        <v>48</v>
      </c>
      <c r="C25" s="18" t="s">
        <v>2</v>
      </c>
      <c r="D25" s="109">
        <v>46</v>
      </c>
      <c r="E25" s="18" t="s">
        <v>2</v>
      </c>
      <c r="F25" s="28"/>
      <c r="G25" s="18" t="s">
        <v>2</v>
      </c>
      <c r="H25" s="28"/>
      <c r="I25" s="18" t="s">
        <v>2</v>
      </c>
      <c r="J25" s="18" t="s">
        <v>2</v>
      </c>
      <c r="K25" s="41">
        <v>0.70833333333333304</v>
      </c>
      <c r="L25" s="11"/>
      <c r="M25" s="109">
        <v>348</v>
      </c>
      <c r="N25" s="18" t="s">
        <v>2</v>
      </c>
      <c r="O25" s="109">
        <v>397</v>
      </c>
      <c r="P25" s="18" t="s">
        <v>2</v>
      </c>
      <c r="Q25" s="109"/>
      <c r="R25" s="18" t="s">
        <v>2</v>
      </c>
      <c r="S25" s="28"/>
      <c r="T25" s="18" t="s">
        <v>2</v>
      </c>
      <c r="U25" s="18" t="s">
        <v>2</v>
      </c>
      <c r="V25" s="2"/>
      <c r="W25" s="1"/>
      <c r="X25" s="45">
        <f t="shared" si="0"/>
        <v>0.20833333333333301</v>
      </c>
      <c r="Y25" s="35">
        <f t="shared" si="1"/>
        <v>48</v>
      </c>
      <c r="Z25" s="35">
        <f t="shared" si="2"/>
        <v>46</v>
      </c>
      <c r="AA25" s="35">
        <f t="shared" si="3"/>
        <v>0</v>
      </c>
      <c r="AB25" s="35">
        <f t="shared" si="4"/>
        <v>0</v>
      </c>
      <c r="AC25" s="35">
        <f t="shared" si="5"/>
        <v>94</v>
      </c>
      <c r="AD25" s="40">
        <f t="shared" si="6"/>
        <v>298</v>
      </c>
      <c r="AE25" s="40"/>
      <c r="AF25" s="40">
        <f t="shared" si="7"/>
        <v>282</v>
      </c>
      <c r="AG25" s="40"/>
      <c r="AH25" s="40">
        <f t="shared" si="8"/>
        <v>0</v>
      </c>
      <c r="AI25" s="40"/>
      <c r="AJ25" s="40">
        <f t="shared" si="9"/>
        <v>0</v>
      </c>
      <c r="AK25" s="40"/>
      <c r="AL25" s="40">
        <f t="shared" si="10"/>
        <v>580</v>
      </c>
      <c r="AM25" s="97"/>
    </row>
    <row r="26" spans="1:39" ht="18.75" customHeight="1" x14ac:dyDescent="0.25">
      <c r="A26" s="51">
        <v>0.21875</v>
      </c>
      <c r="B26" s="109">
        <v>68</v>
      </c>
      <c r="C26" s="18" t="s">
        <v>2</v>
      </c>
      <c r="D26" s="109">
        <v>63</v>
      </c>
      <c r="E26" s="18" t="s">
        <v>2</v>
      </c>
      <c r="F26" s="28"/>
      <c r="G26" s="18" t="s">
        <v>2</v>
      </c>
      <c r="H26" s="28"/>
      <c r="I26" s="18" t="s">
        <v>2</v>
      </c>
      <c r="J26" s="18" t="s">
        <v>2</v>
      </c>
      <c r="K26" s="41">
        <v>0.718749999999999</v>
      </c>
      <c r="L26" s="11"/>
      <c r="M26" s="109">
        <v>387</v>
      </c>
      <c r="N26" s="18" t="s">
        <v>2</v>
      </c>
      <c r="O26" s="109">
        <v>399</v>
      </c>
      <c r="P26" s="18" t="s">
        <v>2</v>
      </c>
      <c r="Q26" s="109"/>
      <c r="R26" s="18" t="s">
        <v>2</v>
      </c>
      <c r="S26" s="28"/>
      <c r="T26" s="18" t="s">
        <v>2</v>
      </c>
      <c r="U26" s="18" t="s">
        <v>2</v>
      </c>
      <c r="V26" s="2"/>
      <c r="W26" s="1"/>
      <c r="X26" s="45">
        <f t="shared" si="0"/>
        <v>0.21875</v>
      </c>
      <c r="Y26" s="35">
        <f t="shared" si="1"/>
        <v>68</v>
      </c>
      <c r="Z26" s="35">
        <f t="shared" si="2"/>
        <v>63</v>
      </c>
      <c r="AA26" s="35">
        <f t="shared" si="3"/>
        <v>0</v>
      </c>
      <c r="AB26" s="35">
        <f t="shared" si="4"/>
        <v>0</v>
      </c>
      <c r="AC26" s="35">
        <f t="shared" si="5"/>
        <v>131</v>
      </c>
      <c r="AD26" s="40">
        <f t="shared" si="6"/>
        <v>360</v>
      </c>
      <c r="AE26" s="40"/>
      <c r="AF26" s="40">
        <f t="shared" si="7"/>
        <v>349</v>
      </c>
      <c r="AG26" s="40"/>
      <c r="AH26" s="40">
        <f t="shared" si="8"/>
        <v>0</v>
      </c>
      <c r="AI26" s="40"/>
      <c r="AJ26" s="40">
        <f t="shared" si="9"/>
        <v>0</v>
      </c>
      <c r="AK26" s="40"/>
      <c r="AL26" s="40">
        <f t="shared" si="10"/>
        <v>709</v>
      </c>
      <c r="AM26" s="97"/>
    </row>
    <row r="27" spans="1:39" ht="18.75" customHeight="1" x14ac:dyDescent="0.25">
      <c r="A27" s="51">
        <v>0.22916666666666699</v>
      </c>
      <c r="B27" s="109">
        <v>78</v>
      </c>
      <c r="C27" s="18" t="s">
        <v>2</v>
      </c>
      <c r="D27" s="109">
        <v>87</v>
      </c>
      <c r="E27" s="18" t="s">
        <v>2</v>
      </c>
      <c r="F27" s="28"/>
      <c r="G27" s="18" t="s">
        <v>2</v>
      </c>
      <c r="H27" s="28"/>
      <c r="I27" s="18" t="s">
        <v>2</v>
      </c>
      <c r="J27" s="18" t="s">
        <v>2</v>
      </c>
      <c r="K27" s="41">
        <v>0.72916666666666596</v>
      </c>
      <c r="L27" s="11"/>
      <c r="M27" s="109">
        <v>359</v>
      </c>
      <c r="N27" s="18" t="s">
        <v>2</v>
      </c>
      <c r="O27" s="109">
        <v>412</v>
      </c>
      <c r="P27" s="18" t="s">
        <v>2</v>
      </c>
      <c r="Q27" s="109"/>
      <c r="R27" s="18" t="s">
        <v>2</v>
      </c>
      <c r="S27" s="28"/>
      <c r="T27" s="18" t="s">
        <v>2</v>
      </c>
      <c r="U27" s="18" t="s">
        <v>2</v>
      </c>
      <c r="V27" s="2"/>
      <c r="W27" s="1"/>
      <c r="X27" s="45">
        <f t="shared" si="0"/>
        <v>0.22916666666666699</v>
      </c>
      <c r="Y27" s="35">
        <f t="shared" si="1"/>
        <v>78</v>
      </c>
      <c r="Z27" s="35">
        <f t="shared" si="2"/>
        <v>87</v>
      </c>
      <c r="AA27" s="35">
        <f t="shared" si="3"/>
        <v>0</v>
      </c>
      <c r="AB27" s="35">
        <f t="shared" si="4"/>
        <v>0</v>
      </c>
      <c r="AC27" s="35">
        <f t="shared" si="5"/>
        <v>165</v>
      </c>
      <c r="AD27" s="40">
        <f t="shared" si="6"/>
        <v>467</v>
      </c>
      <c r="AE27" s="40"/>
      <c r="AF27" s="40">
        <f t="shared" si="7"/>
        <v>415</v>
      </c>
      <c r="AG27" s="40"/>
      <c r="AH27" s="40">
        <f t="shared" si="8"/>
        <v>0</v>
      </c>
      <c r="AI27" s="40"/>
      <c r="AJ27" s="40">
        <f t="shared" si="9"/>
        <v>0</v>
      </c>
      <c r="AK27" s="40"/>
      <c r="AL27" s="40">
        <f t="shared" si="10"/>
        <v>882</v>
      </c>
      <c r="AM27" s="97"/>
    </row>
    <row r="28" spans="1:39" ht="18.75" customHeight="1" x14ac:dyDescent="0.25">
      <c r="A28" s="52">
        <v>0.23958333333333301</v>
      </c>
      <c r="B28" s="108">
        <v>104</v>
      </c>
      <c r="C28" s="101">
        <f>IF(ISBLANK(B25:B28)," ",SUM(B25:B28))</f>
        <v>298</v>
      </c>
      <c r="D28" s="108">
        <v>86</v>
      </c>
      <c r="E28" s="101">
        <f>IF(ISBLANK(D25:D28)," ",SUM(D25:D28))</f>
        <v>282</v>
      </c>
      <c r="F28" s="102"/>
      <c r="G28" s="101" t="str">
        <f>IF(ISBLANK(F25:F28)," ",SUM(F25:F28))</f>
        <v xml:space="preserve"> </v>
      </c>
      <c r="H28" s="102"/>
      <c r="I28" s="101" t="str">
        <f>IF(ISBLANK(H25:H28)," ",SUM(H25:H28))</f>
        <v xml:space="preserve"> </v>
      </c>
      <c r="J28" s="101">
        <f>IF(SUM(C28,E28,G28,I28)=0," ",SUM(C28,E28,G28,I28))</f>
        <v>580</v>
      </c>
      <c r="K28" s="42">
        <v>0.73958333333333204</v>
      </c>
      <c r="L28" s="103"/>
      <c r="M28" s="108">
        <v>313</v>
      </c>
      <c r="N28" s="101">
        <f>IF(ISBLANK(M25:M28)," ",SUM(M25:M28))</f>
        <v>1407</v>
      </c>
      <c r="O28" s="108">
        <v>388</v>
      </c>
      <c r="P28" s="101">
        <f>IF(ISBLANK(O25:O28)," ",SUM(O25:O28))</f>
        <v>1596</v>
      </c>
      <c r="Q28" s="108"/>
      <c r="R28" s="20" t="str">
        <f>IF(ISBLANK(Q25:Q28)," ",SUM(Q25:Q28))</f>
        <v xml:space="preserve"> </v>
      </c>
      <c r="S28" s="29"/>
      <c r="T28" s="20" t="str">
        <f>IF(ISBLANK(S25:S28)," ",SUM(S25:S28))</f>
        <v xml:space="preserve"> </v>
      </c>
      <c r="U28" s="20">
        <f>IF(SUM(N28,P28,R28,T28)=0," ",SUM(N28,P28,R28,T28))</f>
        <v>3003</v>
      </c>
      <c r="V28" s="2"/>
      <c r="W28" s="1"/>
      <c r="X28" s="45">
        <f t="shared" si="0"/>
        <v>0.23958333333333301</v>
      </c>
      <c r="Y28" s="35">
        <f t="shared" si="1"/>
        <v>104</v>
      </c>
      <c r="Z28" s="35">
        <f t="shared" si="2"/>
        <v>86</v>
      </c>
      <c r="AA28" s="35">
        <f t="shared" si="3"/>
        <v>0</v>
      </c>
      <c r="AB28" s="35">
        <f t="shared" si="4"/>
        <v>0</v>
      </c>
      <c r="AC28" s="35">
        <f t="shared" si="5"/>
        <v>190</v>
      </c>
      <c r="AD28" s="40">
        <f t="shared" si="6"/>
        <v>617</v>
      </c>
      <c r="AE28" s="40"/>
      <c r="AF28" s="40">
        <f t="shared" si="7"/>
        <v>524</v>
      </c>
      <c r="AG28" s="40"/>
      <c r="AH28" s="40">
        <f t="shared" si="8"/>
        <v>0</v>
      </c>
      <c r="AI28" s="40"/>
      <c r="AJ28" s="40">
        <f t="shared" si="9"/>
        <v>0</v>
      </c>
      <c r="AK28" s="40"/>
      <c r="AL28" s="40">
        <f t="shared" si="10"/>
        <v>1141</v>
      </c>
      <c r="AM28" s="97"/>
    </row>
    <row r="29" spans="1:39" ht="22.5" customHeight="1" x14ac:dyDescent="0.25">
      <c r="A29" s="51">
        <v>0.25</v>
      </c>
      <c r="B29" s="109">
        <v>110</v>
      </c>
      <c r="C29" s="18" t="s">
        <v>2</v>
      </c>
      <c r="D29" s="109">
        <v>113</v>
      </c>
      <c r="E29" s="18" t="s">
        <v>2</v>
      </c>
      <c r="F29" s="28"/>
      <c r="G29" s="18" t="s">
        <v>2</v>
      </c>
      <c r="H29" s="28"/>
      <c r="I29" s="18" t="s">
        <v>2</v>
      </c>
      <c r="J29" s="18" t="s">
        <v>2</v>
      </c>
      <c r="K29" s="41">
        <v>0.749999999999999</v>
      </c>
      <c r="L29" s="11"/>
      <c r="M29" s="109">
        <v>307</v>
      </c>
      <c r="N29" s="18" t="s">
        <v>2</v>
      </c>
      <c r="O29" s="109">
        <v>349</v>
      </c>
      <c r="P29" s="18" t="s">
        <v>2</v>
      </c>
      <c r="Q29" s="28"/>
      <c r="R29" s="18" t="s">
        <v>2</v>
      </c>
      <c r="S29" s="28"/>
      <c r="T29" s="18" t="s">
        <v>2</v>
      </c>
      <c r="U29" s="18" t="s">
        <v>2</v>
      </c>
      <c r="V29" s="2"/>
      <c r="W29" s="1"/>
      <c r="X29" s="57">
        <f t="shared" si="0"/>
        <v>0.25</v>
      </c>
      <c r="Y29" s="35">
        <f t="shared" si="1"/>
        <v>110</v>
      </c>
      <c r="Z29" s="35">
        <f t="shared" si="2"/>
        <v>113</v>
      </c>
      <c r="AA29" s="35">
        <f t="shared" si="3"/>
        <v>0</v>
      </c>
      <c r="AB29" s="35">
        <f t="shared" si="4"/>
        <v>0</v>
      </c>
      <c r="AC29" s="35">
        <f t="shared" si="5"/>
        <v>223</v>
      </c>
      <c r="AD29" s="40">
        <f t="shared" si="6"/>
        <v>785</v>
      </c>
      <c r="AE29" s="40"/>
      <c r="AF29" s="40">
        <f t="shared" si="7"/>
        <v>638</v>
      </c>
      <c r="AG29" s="40"/>
      <c r="AH29" s="40">
        <f t="shared" si="8"/>
        <v>0</v>
      </c>
      <c r="AI29" s="40"/>
      <c r="AJ29" s="40">
        <f t="shared" si="9"/>
        <v>0</v>
      </c>
      <c r="AK29" s="40"/>
      <c r="AL29" s="40">
        <f t="shared" si="10"/>
        <v>1423</v>
      </c>
      <c r="AM29" s="97"/>
    </row>
    <row r="30" spans="1:39" ht="18.75" customHeight="1" x14ac:dyDescent="0.25">
      <c r="A30" s="51">
        <v>0.26041666666666702</v>
      </c>
      <c r="B30" s="109">
        <v>175</v>
      </c>
      <c r="C30" s="18" t="s">
        <v>2</v>
      </c>
      <c r="D30" s="109">
        <v>129</v>
      </c>
      <c r="E30" s="18" t="s">
        <v>2</v>
      </c>
      <c r="F30" s="28"/>
      <c r="G30" s="18" t="s">
        <v>2</v>
      </c>
      <c r="H30" s="28"/>
      <c r="I30" s="18" t="s">
        <v>2</v>
      </c>
      <c r="J30" s="18" t="s">
        <v>2</v>
      </c>
      <c r="K30" s="41">
        <v>0.76041666666666596</v>
      </c>
      <c r="L30" s="11"/>
      <c r="M30" s="109">
        <v>267</v>
      </c>
      <c r="N30" s="18" t="s">
        <v>2</v>
      </c>
      <c r="O30" s="109">
        <v>335</v>
      </c>
      <c r="P30" s="18" t="s">
        <v>2</v>
      </c>
      <c r="Q30" s="28"/>
      <c r="R30" s="18" t="s">
        <v>2</v>
      </c>
      <c r="S30" s="28"/>
      <c r="T30" s="18" t="s">
        <v>2</v>
      </c>
      <c r="U30" s="18" t="s">
        <v>2</v>
      </c>
      <c r="V30" s="2"/>
      <c r="W30" s="1"/>
      <c r="X30" s="45">
        <f t="shared" si="0"/>
        <v>0.26041666666666702</v>
      </c>
      <c r="Y30" s="35">
        <f t="shared" si="1"/>
        <v>175</v>
      </c>
      <c r="Z30" s="35">
        <f t="shared" si="2"/>
        <v>129</v>
      </c>
      <c r="AA30" s="35">
        <f t="shared" si="3"/>
        <v>0</v>
      </c>
      <c r="AB30" s="35">
        <f t="shared" si="4"/>
        <v>0</v>
      </c>
      <c r="AC30" s="35">
        <f t="shared" si="5"/>
        <v>304</v>
      </c>
      <c r="AD30" s="40">
        <f t="shared" si="6"/>
        <v>972</v>
      </c>
      <c r="AE30" s="40"/>
      <c r="AF30" s="40">
        <f t="shared" si="7"/>
        <v>694</v>
      </c>
      <c r="AG30" s="40"/>
      <c r="AH30" s="40">
        <f t="shared" si="8"/>
        <v>0</v>
      </c>
      <c r="AI30" s="40"/>
      <c r="AJ30" s="40">
        <f t="shared" si="9"/>
        <v>0</v>
      </c>
      <c r="AK30" s="40"/>
      <c r="AL30" s="40">
        <f t="shared" si="10"/>
        <v>1666</v>
      </c>
      <c r="AM30" s="97"/>
    </row>
    <row r="31" spans="1:39" ht="18.75" customHeight="1" x14ac:dyDescent="0.25">
      <c r="A31" s="51">
        <v>0.27083333333333298</v>
      </c>
      <c r="B31" s="109">
        <v>228</v>
      </c>
      <c r="C31" s="18" t="s">
        <v>2</v>
      </c>
      <c r="D31" s="109">
        <v>196</v>
      </c>
      <c r="E31" s="18" t="s">
        <v>2</v>
      </c>
      <c r="F31" s="28"/>
      <c r="G31" s="18" t="s">
        <v>2</v>
      </c>
      <c r="H31" s="28"/>
      <c r="I31" s="18" t="s">
        <v>2</v>
      </c>
      <c r="J31" s="18" t="s">
        <v>2</v>
      </c>
      <c r="K31" s="41">
        <v>0.77083333333333204</v>
      </c>
      <c r="L31" s="11"/>
      <c r="M31" s="109">
        <v>261</v>
      </c>
      <c r="N31" s="18" t="s">
        <v>2</v>
      </c>
      <c r="O31" s="109">
        <v>309</v>
      </c>
      <c r="P31" s="18" t="s">
        <v>2</v>
      </c>
      <c r="Q31" s="28"/>
      <c r="R31" s="18" t="s">
        <v>2</v>
      </c>
      <c r="S31" s="28"/>
      <c r="T31" s="18" t="s">
        <v>2</v>
      </c>
      <c r="U31" s="18" t="s">
        <v>2</v>
      </c>
      <c r="V31" s="2"/>
      <c r="W31" s="1"/>
      <c r="X31" s="45">
        <f t="shared" si="0"/>
        <v>0.27083333333333298</v>
      </c>
      <c r="Y31" s="35">
        <f t="shared" si="1"/>
        <v>228</v>
      </c>
      <c r="Z31" s="35">
        <f t="shared" si="2"/>
        <v>196</v>
      </c>
      <c r="AA31" s="35">
        <f t="shared" si="3"/>
        <v>0</v>
      </c>
      <c r="AB31" s="35">
        <f t="shared" si="4"/>
        <v>0</v>
      </c>
      <c r="AC31" s="35">
        <f t="shared" si="5"/>
        <v>424</v>
      </c>
      <c r="AD31" s="40">
        <f t="shared" si="6"/>
        <v>1111</v>
      </c>
      <c r="AE31" s="40"/>
      <c r="AF31" s="40">
        <f t="shared" si="7"/>
        <v>739</v>
      </c>
      <c r="AG31" s="40"/>
      <c r="AH31" s="40">
        <f t="shared" si="8"/>
        <v>0</v>
      </c>
      <c r="AI31" s="40"/>
      <c r="AJ31" s="40">
        <f t="shared" si="9"/>
        <v>0</v>
      </c>
      <c r="AK31" s="40"/>
      <c r="AL31" s="40">
        <f t="shared" si="10"/>
        <v>1850</v>
      </c>
      <c r="AM31" s="97"/>
    </row>
    <row r="32" spans="1:39" ht="18.75" customHeight="1" x14ac:dyDescent="0.25">
      <c r="A32" s="52">
        <v>0.28125</v>
      </c>
      <c r="B32" s="108">
        <v>272</v>
      </c>
      <c r="C32" s="101">
        <f>IF(ISBLANK(B29:B32)," ",SUM(B29:B32))</f>
        <v>785</v>
      </c>
      <c r="D32" s="108">
        <v>200</v>
      </c>
      <c r="E32" s="101">
        <f>IF(ISBLANK(D29:D32)," ",SUM(D29:D32))</f>
        <v>638</v>
      </c>
      <c r="F32" s="102"/>
      <c r="G32" s="101" t="str">
        <f>IF(ISBLANK(F29:F32)," ",SUM(F29:F32))</f>
        <v xml:space="preserve"> </v>
      </c>
      <c r="H32" s="102"/>
      <c r="I32" s="101" t="str">
        <f>IF(ISBLANK(H29:H32)," ",SUM(H29:H32))</f>
        <v xml:space="preserve"> </v>
      </c>
      <c r="J32" s="101">
        <f>IF(SUM(C32,E32,G32,I32)=0," ",SUM(C32,E32,G32,I32))</f>
        <v>1423</v>
      </c>
      <c r="K32" s="42">
        <v>0.781249999999999</v>
      </c>
      <c r="L32" s="103"/>
      <c r="M32" s="108">
        <v>267</v>
      </c>
      <c r="N32" s="101">
        <f>IF(ISBLANK(M29:M32)," ",SUM(M29:M32))</f>
        <v>1102</v>
      </c>
      <c r="O32" s="108">
        <v>251</v>
      </c>
      <c r="P32" s="101">
        <f>IF(ISBLANK(O29:O32)," ",SUM(O29:O32))</f>
        <v>1244</v>
      </c>
      <c r="Q32" s="29"/>
      <c r="R32" s="20" t="str">
        <f>IF(ISBLANK(Q29:Q32)," ",SUM(Q29:Q32))</f>
        <v xml:space="preserve"> </v>
      </c>
      <c r="S32" s="29"/>
      <c r="T32" s="20" t="str">
        <f>IF(ISBLANK(S29:S32)," ",SUM(S29:S32))</f>
        <v xml:space="preserve"> </v>
      </c>
      <c r="U32" s="20">
        <f>IF(SUM(N32,P32,R32,T32)=0," ",SUM(N32,P32,R32,T32))</f>
        <v>2346</v>
      </c>
      <c r="V32" s="2"/>
      <c r="W32" s="1"/>
      <c r="X32" s="45">
        <f t="shared" si="0"/>
        <v>0.28125</v>
      </c>
      <c r="Y32" s="35">
        <f t="shared" si="1"/>
        <v>272</v>
      </c>
      <c r="Z32" s="35">
        <f t="shared" si="2"/>
        <v>200</v>
      </c>
      <c r="AA32" s="35">
        <f t="shared" si="3"/>
        <v>0</v>
      </c>
      <c r="AB32" s="35">
        <f t="shared" si="4"/>
        <v>0</v>
      </c>
      <c r="AC32" s="35">
        <f t="shared" si="5"/>
        <v>472</v>
      </c>
      <c r="AD32" s="40">
        <f t="shared" si="6"/>
        <v>1222</v>
      </c>
      <c r="AE32" s="40"/>
      <c r="AF32" s="40">
        <f t="shared" si="7"/>
        <v>719</v>
      </c>
      <c r="AG32" s="40"/>
      <c r="AH32" s="40">
        <f t="shared" si="8"/>
        <v>0</v>
      </c>
      <c r="AI32" s="40"/>
      <c r="AJ32" s="40">
        <f t="shared" si="9"/>
        <v>0</v>
      </c>
      <c r="AK32" s="40"/>
      <c r="AL32" s="40">
        <f t="shared" si="10"/>
        <v>1941</v>
      </c>
      <c r="AM32" s="97"/>
    </row>
    <row r="33" spans="1:39" ht="22.5" customHeight="1" x14ac:dyDescent="0.25">
      <c r="A33" s="51">
        <v>0.29166666666666702</v>
      </c>
      <c r="B33" s="109">
        <v>297</v>
      </c>
      <c r="C33" s="18" t="s">
        <v>2</v>
      </c>
      <c r="D33" s="109">
        <v>169</v>
      </c>
      <c r="E33" s="18" t="s">
        <v>2</v>
      </c>
      <c r="F33" s="28"/>
      <c r="G33" s="18" t="s">
        <v>2</v>
      </c>
      <c r="H33" s="28"/>
      <c r="I33" s="18" t="s">
        <v>2</v>
      </c>
      <c r="J33" s="18" t="s">
        <v>2</v>
      </c>
      <c r="K33" s="41">
        <v>0.79166666666666596</v>
      </c>
      <c r="L33" s="11"/>
      <c r="M33" s="109">
        <v>230</v>
      </c>
      <c r="N33" s="18" t="s">
        <v>2</v>
      </c>
      <c r="O33" s="109">
        <v>246</v>
      </c>
      <c r="P33" s="18" t="s">
        <v>2</v>
      </c>
      <c r="Q33" s="28"/>
      <c r="R33" s="18" t="s">
        <v>2</v>
      </c>
      <c r="S33" s="28"/>
      <c r="T33" s="18" t="s">
        <v>2</v>
      </c>
      <c r="U33" s="18" t="s">
        <v>2</v>
      </c>
      <c r="V33" s="2"/>
      <c r="W33" s="1"/>
      <c r="X33" s="45">
        <f t="shared" si="0"/>
        <v>0.29166666666666702</v>
      </c>
      <c r="Y33" s="35">
        <f t="shared" si="1"/>
        <v>297</v>
      </c>
      <c r="Z33" s="35">
        <f t="shared" si="2"/>
        <v>169</v>
      </c>
      <c r="AA33" s="35">
        <f t="shared" si="3"/>
        <v>0</v>
      </c>
      <c r="AB33" s="35">
        <f t="shared" si="4"/>
        <v>0</v>
      </c>
      <c r="AC33" s="35">
        <f t="shared" si="5"/>
        <v>466</v>
      </c>
      <c r="AD33" s="40">
        <f t="shared" si="6"/>
        <v>1338</v>
      </c>
      <c r="AE33" s="40"/>
      <c r="AF33" s="40">
        <f t="shared" si="7"/>
        <v>737</v>
      </c>
      <c r="AG33" s="40"/>
      <c r="AH33" s="40">
        <f t="shared" si="8"/>
        <v>0</v>
      </c>
      <c r="AI33" s="40"/>
      <c r="AJ33" s="40">
        <f t="shared" si="9"/>
        <v>0</v>
      </c>
      <c r="AK33" s="40"/>
      <c r="AL33" s="40">
        <f t="shared" si="10"/>
        <v>2075</v>
      </c>
      <c r="AM33" s="97"/>
    </row>
    <row r="34" spans="1:39" ht="18.75" customHeight="1" x14ac:dyDescent="0.25">
      <c r="A34" s="51">
        <v>0.30208333333333298</v>
      </c>
      <c r="B34" s="107">
        <v>314</v>
      </c>
      <c r="C34" s="21" t="s">
        <v>2</v>
      </c>
      <c r="D34" s="107">
        <v>174</v>
      </c>
      <c r="E34" s="21" t="s">
        <v>2</v>
      </c>
      <c r="F34" s="30"/>
      <c r="G34" s="21" t="s">
        <v>2</v>
      </c>
      <c r="H34" s="30"/>
      <c r="I34" s="21" t="s">
        <v>2</v>
      </c>
      <c r="J34" s="21" t="s">
        <v>2</v>
      </c>
      <c r="K34" s="106">
        <v>0.80208333333333204</v>
      </c>
      <c r="L34" s="12"/>
      <c r="M34" s="107">
        <v>210</v>
      </c>
      <c r="N34" s="21" t="s">
        <v>2</v>
      </c>
      <c r="O34" s="107">
        <v>254</v>
      </c>
      <c r="P34" s="21" t="s">
        <v>2</v>
      </c>
      <c r="Q34" s="28"/>
      <c r="R34" s="18" t="s">
        <v>2</v>
      </c>
      <c r="S34" s="28"/>
      <c r="T34" s="18" t="s">
        <v>2</v>
      </c>
      <c r="U34" s="18" t="s">
        <v>2</v>
      </c>
      <c r="V34" s="2"/>
      <c r="W34" s="1"/>
      <c r="X34" s="45">
        <f t="shared" si="0"/>
        <v>0.30208333333333298</v>
      </c>
      <c r="Y34" s="35">
        <f t="shared" si="1"/>
        <v>314</v>
      </c>
      <c r="Z34" s="35">
        <f t="shared" si="2"/>
        <v>174</v>
      </c>
      <c r="AA34" s="35">
        <f t="shared" si="3"/>
        <v>0</v>
      </c>
      <c r="AB34" s="35">
        <f t="shared" si="4"/>
        <v>0</v>
      </c>
      <c r="AC34" s="35">
        <f t="shared" si="5"/>
        <v>488</v>
      </c>
      <c r="AD34" s="40">
        <f t="shared" si="6"/>
        <v>1423</v>
      </c>
      <c r="AE34" s="40"/>
      <c r="AF34" s="40">
        <f t="shared" si="7"/>
        <v>778</v>
      </c>
      <c r="AG34" s="40"/>
      <c r="AH34" s="40">
        <f t="shared" si="8"/>
        <v>0</v>
      </c>
      <c r="AI34" s="40"/>
      <c r="AJ34" s="40">
        <f t="shared" si="9"/>
        <v>0</v>
      </c>
      <c r="AK34" s="40"/>
      <c r="AL34" s="40">
        <f t="shared" si="10"/>
        <v>2201</v>
      </c>
      <c r="AM34" s="97"/>
    </row>
    <row r="35" spans="1:39" ht="18.75" customHeight="1" x14ac:dyDescent="0.25">
      <c r="A35" s="51">
        <v>0.3125</v>
      </c>
      <c r="B35" s="107">
        <v>339</v>
      </c>
      <c r="C35" s="21" t="s">
        <v>2</v>
      </c>
      <c r="D35" s="107">
        <v>176</v>
      </c>
      <c r="E35" s="21" t="s">
        <v>2</v>
      </c>
      <c r="F35" s="30"/>
      <c r="G35" s="21" t="s">
        <v>2</v>
      </c>
      <c r="H35" s="30"/>
      <c r="I35" s="21" t="s">
        <v>2</v>
      </c>
      <c r="J35" s="21" t="s">
        <v>2</v>
      </c>
      <c r="K35" s="106">
        <v>0.812499999999999</v>
      </c>
      <c r="L35" s="12"/>
      <c r="M35" s="107">
        <v>221</v>
      </c>
      <c r="N35" s="21" t="s">
        <v>2</v>
      </c>
      <c r="O35" s="107">
        <v>216</v>
      </c>
      <c r="P35" s="21" t="s">
        <v>2</v>
      </c>
      <c r="Q35" s="28"/>
      <c r="R35" s="18" t="s">
        <v>2</v>
      </c>
      <c r="S35" s="28"/>
      <c r="T35" s="18" t="s">
        <v>2</v>
      </c>
      <c r="U35" s="18" t="s">
        <v>2</v>
      </c>
      <c r="V35" s="2"/>
      <c r="W35" s="1"/>
      <c r="X35" s="45">
        <f t="shared" si="0"/>
        <v>0.3125</v>
      </c>
      <c r="Y35" s="35">
        <f t="shared" si="1"/>
        <v>339</v>
      </c>
      <c r="Z35" s="35">
        <f t="shared" si="2"/>
        <v>176</v>
      </c>
      <c r="AA35" s="35">
        <f t="shared" si="3"/>
        <v>0</v>
      </c>
      <c r="AB35" s="35">
        <f t="shared" si="4"/>
        <v>0</v>
      </c>
      <c r="AC35" s="35">
        <f t="shared" si="5"/>
        <v>515</v>
      </c>
      <c r="AD35" s="40">
        <f t="shared" si="6"/>
        <v>1471</v>
      </c>
      <c r="AE35" s="40"/>
      <c r="AF35" s="40">
        <f t="shared" si="7"/>
        <v>798</v>
      </c>
      <c r="AG35" s="40"/>
      <c r="AH35" s="40">
        <f t="shared" si="8"/>
        <v>0</v>
      </c>
      <c r="AI35" s="40"/>
      <c r="AJ35" s="40">
        <f t="shared" si="9"/>
        <v>0</v>
      </c>
      <c r="AK35" s="40"/>
      <c r="AL35" s="40">
        <f t="shared" si="10"/>
        <v>2269</v>
      </c>
      <c r="AM35" s="97"/>
    </row>
    <row r="36" spans="1:39" ht="18.75" customHeight="1" x14ac:dyDescent="0.25">
      <c r="A36" s="52">
        <v>0.32291666666666702</v>
      </c>
      <c r="B36" s="108">
        <v>388</v>
      </c>
      <c r="C36" s="101">
        <f>IF(ISBLANK(B33:B36)," ",SUM(B33:B36))</f>
        <v>1338</v>
      </c>
      <c r="D36" s="108">
        <v>218</v>
      </c>
      <c r="E36" s="101">
        <f>IF(ISBLANK(D33:D36)," ",SUM(D33:D36))</f>
        <v>737</v>
      </c>
      <c r="F36" s="102"/>
      <c r="G36" s="101" t="str">
        <f>IF(ISBLANK(F33:F36)," ",SUM(F33:F36))</f>
        <v xml:space="preserve"> </v>
      </c>
      <c r="H36" s="102"/>
      <c r="I36" s="101" t="str">
        <f>IF(ISBLANK(H33:H36)," ",SUM(H33:H36))</f>
        <v xml:space="preserve"> </v>
      </c>
      <c r="J36" s="101">
        <f>IF(SUM(C36,E36,G36,I36)=0," ",SUM(C36,E36,G36,I36))</f>
        <v>2075</v>
      </c>
      <c r="K36" s="42">
        <v>0.82291666666666596</v>
      </c>
      <c r="L36" s="103"/>
      <c r="M36" s="108">
        <v>216</v>
      </c>
      <c r="N36" s="101">
        <f>IF(ISBLANK(M33:M36)," ",SUM(M33:M36))</f>
        <v>877</v>
      </c>
      <c r="O36" s="108">
        <v>284</v>
      </c>
      <c r="P36" s="101">
        <f>IF(ISBLANK(O33:O36)," ",SUM(O33:O36))</f>
        <v>1000</v>
      </c>
      <c r="Q36" s="29"/>
      <c r="R36" s="20" t="str">
        <f>IF(ISBLANK(Q33:Q36)," ",SUM(Q33:Q36))</f>
        <v xml:space="preserve"> </v>
      </c>
      <c r="S36" s="29"/>
      <c r="T36" s="20" t="str">
        <f>IF(ISBLANK(S33:S36)," ",SUM(S33:S36))</f>
        <v xml:space="preserve"> </v>
      </c>
      <c r="U36" s="20">
        <f>IF(SUM(N36,P36,R36,T36)=0," ",SUM(N36,P36,R36,T36))</f>
        <v>1877</v>
      </c>
      <c r="V36" s="2"/>
      <c r="W36" s="1"/>
      <c r="X36" s="45">
        <f t="shared" si="0"/>
        <v>0.32291666666666702</v>
      </c>
      <c r="Y36" s="35">
        <f t="shared" si="1"/>
        <v>388</v>
      </c>
      <c r="Z36" s="35">
        <f t="shared" si="2"/>
        <v>218</v>
      </c>
      <c r="AA36" s="35">
        <f t="shared" si="3"/>
        <v>0</v>
      </c>
      <c r="AB36" s="35">
        <f t="shared" si="4"/>
        <v>0</v>
      </c>
      <c r="AC36" s="35">
        <f t="shared" si="5"/>
        <v>606</v>
      </c>
      <c r="AD36" s="40">
        <f t="shared" si="6"/>
        <v>1468</v>
      </c>
      <c r="AE36" s="40"/>
      <c r="AF36" s="40">
        <f t="shared" si="7"/>
        <v>793</v>
      </c>
      <c r="AG36" s="40"/>
      <c r="AH36" s="40">
        <f t="shared" si="8"/>
        <v>0</v>
      </c>
      <c r="AI36" s="40"/>
      <c r="AJ36" s="40">
        <f t="shared" si="9"/>
        <v>0</v>
      </c>
      <c r="AK36" s="40"/>
      <c r="AL36" s="40">
        <f t="shared" si="10"/>
        <v>2261</v>
      </c>
      <c r="AM36" s="97"/>
    </row>
    <row r="37" spans="1:39" ht="22.5" customHeight="1" x14ac:dyDescent="0.25">
      <c r="A37" s="51">
        <v>0.33333333333333298</v>
      </c>
      <c r="B37" s="109">
        <v>382</v>
      </c>
      <c r="C37" s="18" t="s">
        <v>2</v>
      </c>
      <c r="D37" s="109">
        <v>210</v>
      </c>
      <c r="E37" s="18" t="s">
        <v>2</v>
      </c>
      <c r="F37" s="28"/>
      <c r="G37" s="18" t="s">
        <v>2</v>
      </c>
      <c r="H37" s="28"/>
      <c r="I37" s="18" t="s">
        <v>2</v>
      </c>
      <c r="J37" s="18" t="s">
        <v>2</v>
      </c>
      <c r="K37" s="41">
        <v>0.83333333333333204</v>
      </c>
      <c r="L37" s="11"/>
      <c r="M37" s="109">
        <v>217</v>
      </c>
      <c r="N37" s="18" t="s">
        <v>2</v>
      </c>
      <c r="O37" s="109">
        <v>282</v>
      </c>
      <c r="P37" s="18" t="s">
        <v>2</v>
      </c>
      <c r="Q37" s="28"/>
      <c r="R37" s="18" t="s">
        <v>2</v>
      </c>
      <c r="S37" s="28"/>
      <c r="T37" s="18" t="s">
        <v>2</v>
      </c>
      <c r="U37" s="18" t="s">
        <v>2</v>
      </c>
      <c r="V37" s="2"/>
      <c r="W37" s="1"/>
      <c r="X37" s="45">
        <f t="shared" si="0"/>
        <v>0.33333333333333298</v>
      </c>
      <c r="Y37" s="35">
        <f t="shared" si="1"/>
        <v>382</v>
      </c>
      <c r="Z37" s="35">
        <f t="shared" si="2"/>
        <v>210</v>
      </c>
      <c r="AA37" s="35">
        <f t="shared" si="3"/>
        <v>0</v>
      </c>
      <c r="AB37" s="35">
        <f t="shared" si="4"/>
        <v>0</v>
      </c>
      <c r="AC37" s="35">
        <f t="shared" ref="AC37:AC68" si="11">SUM(Y37:AB37)</f>
        <v>592</v>
      </c>
      <c r="AD37" s="40">
        <f t="shared" ref="AD37:AD68" si="12">SUM(Y37:Y40)</f>
        <v>1387</v>
      </c>
      <c r="AE37" s="40"/>
      <c r="AF37" s="40">
        <f t="shared" ref="AF37:AF68" si="13">SUM(Z37:Z40)</f>
        <v>775</v>
      </c>
      <c r="AG37" s="40"/>
      <c r="AH37" s="40">
        <f t="shared" ref="AH37:AH68" si="14">SUM(AA37:AA40)</f>
        <v>0</v>
      </c>
      <c r="AI37" s="40"/>
      <c r="AJ37" s="40">
        <f t="shared" ref="AJ37:AJ68" si="15">SUM(AB37:AB40)</f>
        <v>0</v>
      </c>
      <c r="AK37" s="40"/>
      <c r="AL37" s="40">
        <f t="shared" ref="AL37:AL68" si="16">SUM(AD37+AF37+AH37+AJ37)</f>
        <v>2162</v>
      </c>
      <c r="AM37" s="97"/>
    </row>
    <row r="38" spans="1:39" ht="18.75" customHeight="1" x14ac:dyDescent="0.25">
      <c r="A38" s="51">
        <v>0.34375</v>
      </c>
      <c r="B38" s="109">
        <v>362</v>
      </c>
      <c r="C38" s="18" t="s">
        <v>2</v>
      </c>
      <c r="D38" s="109">
        <v>194</v>
      </c>
      <c r="E38" s="18" t="s">
        <v>2</v>
      </c>
      <c r="F38" s="28"/>
      <c r="G38" s="18" t="s">
        <v>2</v>
      </c>
      <c r="H38" s="28"/>
      <c r="I38" s="18" t="s">
        <v>2</v>
      </c>
      <c r="J38" s="18" t="s">
        <v>2</v>
      </c>
      <c r="K38" s="41">
        <v>0.843749999999999</v>
      </c>
      <c r="L38" s="11"/>
      <c r="M38" s="109">
        <v>213</v>
      </c>
      <c r="N38" s="18" t="s">
        <v>2</v>
      </c>
      <c r="O38" s="109">
        <v>203</v>
      </c>
      <c r="P38" s="18" t="s">
        <v>2</v>
      </c>
      <c r="Q38" s="28"/>
      <c r="R38" s="18" t="s">
        <v>2</v>
      </c>
      <c r="S38" s="28"/>
      <c r="T38" s="18" t="s">
        <v>2</v>
      </c>
      <c r="U38" s="18" t="s">
        <v>2</v>
      </c>
      <c r="V38" s="2"/>
      <c r="W38" s="1"/>
      <c r="X38" s="45">
        <f t="shared" si="0"/>
        <v>0.34375</v>
      </c>
      <c r="Y38" s="35">
        <f t="shared" si="1"/>
        <v>362</v>
      </c>
      <c r="Z38" s="35">
        <f t="shared" si="2"/>
        <v>194</v>
      </c>
      <c r="AA38" s="35">
        <f t="shared" si="3"/>
        <v>0</v>
      </c>
      <c r="AB38" s="35">
        <f t="shared" si="4"/>
        <v>0</v>
      </c>
      <c r="AC38" s="35">
        <f t="shared" si="11"/>
        <v>556</v>
      </c>
      <c r="AD38" s="40">
        <f t="shared" si="12"/>
        <v>1271</v>
      </c>
      <c r="AE38" s="40"/>
      <c r="AF38" s="40">
        <f t="shared" si="13"/>
        <v>743</v>
      </c>
      <c r="AG38" s="40"/>
      <c r="AH38" s="40">
        <f t="shared" si="14"/>
        <v>0</v>
      </c>
      <c r="AI38" s="40"/>
      <c r="AJ38" s="40">
        <f t="shared" si="15"/>
        <v>0</v>
      </c>
      <c r="AK38" s="40"/>
      <c r="AL38" s="40">
        <f t="shared" si="16"/>
        <v>2014</v>
      </c>
      <c r="AM38" s="97"/>
    </row>
    <row r="39" spans="1:39" ht="18.75" customHeight="1" x14ac:dyDescent="0.25">
      <c r="A39" s="104">
        <v>0.35416666666666702</v>
      </c>
      <c r="B39" s="107">
        <v>336</v>
      </c>
      <c r="C39" s="21" t="s">
        <v>2</v>
      </c>
      <c r="D39" s="107">
        <v>171</v>
      </c>
      <c r="E39" s="21" t="s">
        <v>2</v>
      </c>
      <c r="F39" s="30"/>
      <c r="G39" s="21" t="s">
        <v>2</v>
      </c>
      <c r="H39" s="30"/>
      <c r="I39" s="21" t="s">
        <v>2</v>
      </c>
      <c r="J39" s="21" t="s">
        <v>2</v>
      </c>
      <c r="K39" s="106">
        <v>0.85416666666666496</v>
      </c>
      <c r="L39" s="12"/>
      <c r="M39" s="107">
        <v>170</v>
      </c>
      <c r="N39" s="21" t="s">
        <v>2</v>
      </c>
      <c r="O39" s="107">
        <v>226</v>
      </c>
      <c r="P39" s="21" t="s">
        <v>2</v>
      </c>
      <c r="Q39" s="28"/>
      <c r="R39" s="18" t="s">
        <v>2</v>
      </c>
      <c r="S39" s="28"/>
      <c r="T39" s="18" t="s">
        <v>2</v>
      </c>
      <c r="U39" s="18" t="s">
        <v>2</v>
      </c>
      <c r="V39" s="2"/>
      <c r="W39" s="1"/>
      <c r="X39" s="45">
        <f t="shared" si="0"/>
        <v>0.35416666666666702</v>
      </c>
      <c r="Y39" s="35">
        <f t="shared" si="1"/>
        <v>336</v>
      </c>
      <c r="Z39" s="35">
        <f t="shared" si="2"/>
        <v>171</v>
      </c>
      <c r="AA39" s="35">
        <f t="shared" si="3"/>
        <v>0</v>
      </c>
      <c r="AB39" s="35">
        <f t="shared" si="4"/>
        <v>0</v>
      </c>
      <c r="AC39" s="35">
        <f t="shared" si="11"/>
        <v>507</v>
      </c>
      <c r="AD39" s="40">
        <f t="shared" si="12"/>
        <v>1118</v>
      </c>
      <c r="AE39" s="40"/>
      <c r="AF39" s="40">
        <f t="shared" si="13"/>
        <v>756</v>
      </c>
      <c r="AG39" s="40"/>
      <c r="AH39" s="40">
        <f t="shared" si="14"/>
        <v>0</v>
      </c>
      <c r="AI39" s="40"/>
      <c r="AJ39" s="40">
        <f t="shared" si="15"/>
        <v>0</v>
      </c>
      <c r="AK39" s="40"/>
      <c r="AL39" s="40">
        <f t="shared" si="16"/>
        <v>1874</v>
      </c>
      <c r="AM39" s="97"/>
    </row>
    <row r="40" spans="1:39" ht="18.75" customHeight="1" x14ac:dyDescent="0.25">
      <c r="A40" s="52">
        <v>0.36458333333333298</v>
      </c>
      <c r="B40" s="108">
        <v>307</v>
      </c>
      <c r="C40" s="101">
        <f>IF(ISBLANK(B37:B40)," ",SUM(B37:B40))</f>
        <v>1387</v>
      </c>
      <c r="D40" s="108">
        <v>200</v>
      </c>
      <c r="E40" s="101">
        <f>IF(ISBLANK(D37:D40)," ",SUM(D37:D40))</f>
        <v>775</v>
      </c>
      <c r="F40" s="102"/>
      <c r="G40" s="101" t="str">
        <f>IF(ISBLANK(F37:F40)," ",SUM(F37:F40))</f>
        <v xml:space="preserve"> </v>
      </c>
      <c r="H40" s="102"/>
      <c r="I40" s="101" t="str">
        <f>IF(ISBLANK(H37:H40)," ",SUM(H37:H40))</f>
        <v xml:space="preserve"> </v>
      </c>
      <c r="J40" s="101">
        <f>IF(SUM(C40,E40,G40,I40)=0," ",SUM(C40,E40,G40,I40))</f>
        <v>2162</v>
      </c>
      <c r="K40" s="42">
        <v>0.86458333333333204</v>
      </c>
      <c r="L40" s="103"/>
      <c r="M40" s="108">
        <v>165</v>
      </c>
      <c r="N40" s="101">
        <f>IF(ISBLANK(M37:M40)," ",SUM(M37:M40))</f>
        <v>765</v>
      </c>
      <c r="O40" s="108">
        <v>175</v>
      </c>
      <c r="P40" s="101">
        <f>IF(ISBLANK(O37:O40)," ",SUM(O37:O40))</f>
        <v>886</v>
      </c>
      <c r="Q40" s="29"/>
      <c r="R40" s="20" t="str">
        <f>IF(ISBLANK(Q37:Q40)," ",SUM(Q37:Q40))</f>
        <v xml:space="preserve"> </v>
      </c>
      <c r="S40" s="29"/>
      <c r="T40" s="20" t="str">
        <f>IF(ISBLANK(S37:S40)," ",SUM(S37:S40))</f>
        <v xml:space="preserve"> </v>
      </c>
      <c r="U40" s="20">
        <f>IF(SUM(N40,P40,R40,T40)=0," ",SUM(N40,P40,R40,T40))</f>
        <v>1651</v>
      </c>
      <c r="V40" s="2"/>
      <c r="W40" s="1"/>
      <c r="X40" s="45">
        <f t="shared" si="0"/>
        <v>0.36458333333333298</v>
      </c>
      <c r="Y40" s="35">
        <f t="shared" si="1"/>
        <v>307</v>
      </c>
      <c r="Z40" s="35">
        <f t="shared" si="2"/>
        <v>200</v>
      </c>
      <c r="AA40" s="35">
        <f t="shared" si="3"/>
        <v>0</v>
      </c>
      <c r="AB40" s="35">
        <f t="shared" si="4"/>
        <v>0</v>
      </c>
      <c r="AC40" s="35">
        <f t="shared" si="11"/>
        <v>507</v>
      </c>
      <c r="AD40" s="40">
        <f t="shared" si="12"/>
        <v>1027</v>
      </c>
      <c r="AE40" s="40"/>
      <c r="AF40" s="40">
        <f t="shared" si="13"/>
        <v>742</v>
      </c>
      <c r="AG40" s="40"/>
      <c r="AH40" s="40">
        <f t="shared" si="14"/>
        <v>0</v>
      </c>
      <c r="AI40" s="40"/>
      <c r="AJ40" s="40">
        <f t="shared" si="15"/>
        <v>0</v>
      </c>
      <c r="AK40" s="40"/>
      <c r="AL40" s="40">
        <f t="shared" si="16"/>
        <v>1769</v>
      </c>
      <c r="AM40" s="97"/>
    </row>
    <row r="41" spans="1:39" ht="22.5" customHeight="1" x14ac:dyDescent="0.25">
      <c r="A41" s="51">
        <v>0.375</v>
      </c>
      <c r="B41" s="109">
        <v>266</v>
      </c>
      <c r="C41" s="18" t="s">
        <v>2</v>
      </c>
      <c r="D41" s="109">
        <v>178</v>
      </c>
      <c r="E41" s="18" t="s">
        <v>2</v>
      </c>
      <c r="F41" s="28"/>
      <c r="G41" s="18" t="s">
        <v>2</v>
      </c>
      <c r="H41" s="28"/>
      <c r="I41" s="18" t="s">
        <v>2</v>
      </c>
      <c r="J41" s="18" t="s">
        <v>2</v>
      </c>
      <c r="K41" s="41">
        <v>0.874999999999999</v>
      </c>
      <c r="L41" s="11"/>
      <c r="M41" s="109">
        <v>213</v>
      </c>
      <c r="N41" s="18" t="s">
        <v>2</v>
      </c>
      <c r="O41" s="109">
        <v>192</v>
      </c>
      <c r="P41" s="18" t="s">
        <v>2</v>
      </c>
      <c r="Q41" s="28"/>
      <c r="R41" s="18" t="s">
        <v>2</v>
      </c>
      <c r="S41" s="28"/>
      <c r="T41" s="18" t="s">
        <v>2</v>
      </c>
      <c r="U41" s="18" t="s">
        <v>2</v>
      </c>
      <c r="V41" s="2"/>
      <c r="W41" s="1"/>
      <c r="X41" s="45">
        <f t="shared" si="0"/>
        <v>0.375</v>
      </c>
      <c r="Y41" s="35">
        <f t="shared" si="1"/>
        <v>266</v>
      </c>
      <c r="Z41" s="35">
        <f t="shared" si="2"/>
        <v>178</v>
      </c>
      <c r="AA41" s="35">
        <f t="shared" si="3"/>
        <v>0</v>
      </c>
      <c r="AB41" s="35">
        <f t="shared" si="4"/>
        <v>0</v>
      </c>
      <c r="AC41" s="35">
        <f t="shared" si="11"/>
        <v>444</v>
      </c>
      <c r="AD41" s="40">
        <f t="shared" si="12"/>
        <v>947</v>
      </c>
      <c r="AE41" s="40"/>
      <c r="AF41" s="40">
        <f t="shared" si="13"/>
        <v>775</v>
      </c>
      <c r="AG41" s="40"/>
      <c r="AH41" s="40">
        <f t="shared" si="14"/>
        <v>0</v>
      </c>
      <c r="AI41" s="40"/>
      <c r="AJ41" s="40">
        <f t="shared" si="15"/>
        <v>0</v>
      </c>
      <c r="AK41" s="40"/>
      <c r="AL41" s="40">
        <f t="shared" si="16"/>
        <v>1722</v>
      </c>
      <c r="AM41" s="97"/>
    </row>
    <row r="42" spans="1:39" ht="18.75" customHeight="1" x14ac:dyDescent="0.25">
      <c r="A42" s="51">
        <v>0.38541666666666702</v>
      </c>
      <c r="B42" s="109">
        <v>209</v>
      </c>
      <c r="C42" s="18" t="s">
        <v>2</v>
      </c>
      <c r="D42" s="109">
        <v>207</v>
      </c>
      <c r="E42" s="18" t="s">
        <v>2</v>
      </c>
      <c r="F42" s="28"/>
      <c r="G42" s="18" t="s">
        <v>2</v>
      </c>
      <c r="H42" s="28"/>
      <c r="I42" s="18" t="s">
        <v>2</v>
      </c>
      <c r="J42" s="18" t="s">
        <v>2</v>
      </c>
      <c r="K42" s="41">
        <v>0.88541666666666496</v>
      </c>
      <c r="L42" s="11"/>
      <c r="M42" s="109">
        <v>181</v>
      </c>
      <c r="N42" s="18" t="s">
        <v>2</v>
      </c>
      <c r="O42" s="109">
        <v>188</v>
      </c>
      <c r="P42" s="18" t="s">
        <v>2</v>
      </c>
      <c r="Q42" s="28"/>
      <c r="R42" s="18" t="s">
        <v>2</v>
      </c>
      <c r="S42" s="28"/>
      <c r="T42" s="18" t="s">
        <v>2</v>
      </c>
      <c r="U42" s="18" t="s">
        <v>2</v>
      </c>
      <c r="V42" s="2"/>
      <c r="W42" s="1"/>
      <c r="X42" s="45">
        <f t="shared" si="0"/>
        <v>0.38541666666666702</v>
      </c>
      <c r="Y42" s="35">
        <f t="shared" si="1"/>
        <v>209</v>
      </c>
      <c r="Z42" s="35">
        <f t="shared" si="2"/>
        <v>207</v>
      </c>
      <c r="AA42" s="35">
        <f t="shared" si="3"/>
        <v>0</v>
      </c>
      <c r="AB42" s="35">
        <f t="shared" si="4"/>
        <v>0</v>
      </c>
      <c r="AC42" s="35">
        <f t="shared" si="11"/>
        <v>416</v>
      </c>
      <c r="AD42" s="40">
        <f t="shared" si="12"/>
        <v>922</v>
      </c>
      <c r="AE42" s="40"/>
      <c r="AF42" s="40">
        <f t="shared" si="13"/>
        <v>772</v>
      </c>
      <c r="AG42" s="40"/>
      <c r="AH42" s="40">
        <f t="shared" si="14"/>
        <v>0</v>
      </c>
      <c r="AI42" s="40"/>
      <c r="AJ42" s="40">
        <f t="shared" si="15"/>
        <v>0</v>
      </c>
      <c r="AK42" s="40"/>
      <c r="AL42" s="40">
        <f t="shared" si="16"/>
        <v>1694</v>
      </c>
      <c r="AM42" s="97"/>
    </row>
    <row r="43" spans="1:39" ht="18.75" customHeight="1" x14ac:dyDescent="0.25">
      <c r="A43" s="104">
        <v>0.39583333333333298</v>
      </c>
      <c r="B43" s="107">
        <v>245</v>
      </c>
      <c r="C43" s="21" t="s">
        <v>2</v>
      </c>
      <c r="D43" s="107">
        <v>157</v>
      </c>
      <c r="E43" s="21"/>
      <c r="F43" s="30"/>
      <c r="G43" s="21" t="s">
        <v>2</v>
      </c>
      <c r="H43" s="30"/>
      <c r="I43" s="21" t="s">
        <v>2</v>
      </c>
      <c r="J43" s="21" t="s">
        <v>2</v>
      </c>
      <c r="K43" s="106">
        <v>0.89583333333333204</v>
      </c>
      <c r="L43" s="12"/>
      <c r="M43" s="107">
        <v>172</v>
      </c>
      <c r="N43" s="21" t="s">
        <v>2</v>
      </c>
      <c r="O43" s="107">
        <v>146</v>
      </c>
      <c r="P43" s="21" t="s">
        <v>2</v>
      </c>
      <c r="Q43" s="28"/>
      <c r="R43" s="18" t="s">
        <v>2</v>
      </c>
      <c r="S43" s="28"/>
      <c r="T43" s="18" t="s">
        <v>2</v>
      </c>
      <c r="U43" s="18" t="s">
        <v>2</v>
      </c>
      <c r="V43" s="2"/>
      <c r="W43" s="1"/>
      <c r="X43" s="45">
        <f t="shared" si="0"/>
        <v>0.39583333333333298</v>
      </c>
      <c r="Y43" s="35">
        <f t="shared" si="1"/>
        <v>245</v>
      </c>
      <c r="Z43" s="35">
        <f t="shared" si="2"/>
        <v>157</v>
      </c>
      <c r="AA43" s="35">
        <f t="shared" si="3"/>
        <v>0</v>
      </c>
      <c r="AB43" s="35">
        <f t="shared" si="4"/>
        <v>0</v>
      </c>
      <c r="AC43" s="35">
        <f t="shared" si="11"/>
        <v>402</v>
      </c>
      <c r="AD43" s="40">
        <f t="shared" si="12"/>
        <v>975</v>
      </c>
      <c r="AE43" s="40"/>
      <c r="AF43" s="40">
        <f t="shared" si="13"/>
        <v>770</v>
      </c>
      <c r="AG43" s="40"/>
      <c r="AH43" s="40">
        <f t="shared" si="14"/>
        <v>0</v>
      </c>
      <c r="AI43" s="40"/>
      <c r="AJ43" s="40">
        <f t="shared" si="15"/>
        <v>0</v>
      </c>
      <c r="AK43" s="40"/>
      <c r="AL43" s="40">
        <f t="shared" si="16"/>
        <v>1745</v>
      </c>
      <c r="AM43" s="97"/>
    </row>
    <row r="44" spans="1:39" ht="18.75" customHeight="1" x14ac:dyDescent="0.25">
      <c r="A44" s="52">
        <v>0.40625</v>
      </c>
      <c r="B44" s="108">
        <v>227</v>
      </c>
      <c r="C44" s="101">
        <f>IF(ISBLANK(B41:B44)," ",SUM(B41:B44))</f>
        <v>947</v>
      </c>
      <c r="D44" s="108">
        <v>233</v>
      </c>
      <c r="E44" s="101">
        <f>IF(ISBLANK(D41:D44)," ",SUM(D41:D44))</f>
        <v>775</v>
      </c>
      <c r="F44" s="102"/>
      <c r="G44" s="101" t="str">
        <f>IF(ISBLANK(F41:F44)," ",SUM(F41:F44))</f>
        <v xml:space="preserve"> </v>
      </c>
      <c r="H44" s="102"/>
      <c r="I44" s="101" t="str">
        <f>IF(ISBLANK(H41:H44)," ",SUM(H41:H44))</f>
        <v xml:space="preserve"> </v>
      </c>
      <c r="J44" s="101">
        <f>IF(SUM(C44,E44,G44,I44)=0," ",SUM(C44,E44,G44,I44))</f>
        <v>1722</v>
      </c>
      <c r="K44" s="42">
        <v>0.906249999999999</v>
      </c>
      <c r="L44" s="103"/>
      <c r="M44" s="108">
        <v>152</v>
      </c>
      <c r="N44" s="101">
        <f>IF(ISBLANK(M41:M44)," ",SUM(M41:M44))</f>
        <v>718</v>
      </c>
      <c r="O44" s="108">
        <v>198</v>
      </c>
      <c r="P44" s="101">
        <f>IF(ISBLANK(O41:O44)," ",SUM(O41:O44))</f>
        <v>724</v>
      </c>
      <c r="Q44" s="29"/>
      <c r="R44" s="20" t="str">
        <f>IF(ISBLANK(Q41:Q44)," ",SUM(Q41:Q44))</f>
        <v xml:space="preserve"> </v>
      </c>
      <c r="S44" s="29"/>
      <c r="T44" s="20" t="str">
        <f>IF(ISBLANK(S41:S44)," ",SUM(S41:S44))</f>
        <v xml:space="preserve"> </v>
      </c>
      <c r="U44" s="20">
        <f>IF(SUM(N44,P44,R44,T44)=0," ",SUM(N44,P44,R44,T44))</f>
        <v>1442</v>
      </c>
      <c r="V44" s="2"/>
      <c r="W44" s="1"/>
      <c r="X44" s="45">
        <f t="shared" si="0"/>
        <v>0.40625</v>
      </c>
      <c r="Y44" s="35">
        <f t="shared" si="1"/>
        <v>227</v>
      </c>
      <c r="Z44" s="35">
        <f t="shared" si="2"/>
        <v>233</v>
      </c>
      <c r="AA44" s="35">
        <f t="shared" si="3"/>
        <v>0</v>
      </c>
      <c r="AB44" s="35">
        <f t="shared" si="4"/>
        <v>0</v>
      </c>
      <c r="AC44" s="35">
        <f t="shared" si="11"/>
        <v>460</v>
      </c>
      <c r="AD44" s="40">
        <f t="shared" si="12"/>
        <v>981</v>
      </c>
      <c r="AE44" s="40"/>
      <c r="AF44" s="40">
        <f t="shared" si="13"/>
        <v>928</v>
      </c>
      <c r="AG44" s="40"/>
      <c r="AH44" s="40">
        <f t="shared" si="14"/>
        <v>0</v>
      </c>
      <c r="AI44" s="40"/>
      <c r="AJ44" s="40">
        <f t="shared" si="15"/>
        <v>0</v>
      </c>
      <c r="AK44" s="40"/>
      <c r="AL44" s="40">
        <f t="shared" si="16"/>
        <v>1909</v>
      </c>
      <c r="AM44" s="97"/>
    </row>
    <row r="45" spans="1:39" ht="22.5" customHeight="1" x14ac:dyDescent="0.25">
      <c r="A45" s="51">
        <v>0.41666666666666702</v>
      </c>
      <c r="B45" s="109">
        <v>241</v>
      </c>
      <c r="C45" s="18" t="s">
        <v>2</v>
      </c>
      <c r="D45" s="109">
        <v>175</v>
      </c>
      <c r="E45" s="18" t="s">
        <v>2</v>
      </c>
      <c r="F45" s="28"/>
      <c r="G45" s="18" t="s">
        <v>2</v>
      </c>
      <c r="H45" s="28"/>
      <c r="I45" s="18" t="s">
        <v>2</v>
      </c>
      <c r="J45" s="18" t="s">
        <v>2</v>
      </c>
      <c r="K45" s="41">
        <v>0.91666666666666496</v>
      </c>
      <c r="L45" s="11"/>
      <c r="M45" s="109">
        <v>178</v>
      </c>
      <c r="N45" s="18" t="s">
        <v>2</v>
      </c>
      <c r="O45" s="109">
        <v>176</v>
      </c>
      <c r="P45" s="18" t="s">
        <v>2</v>
      </c>
      <c r="Q45" s="28"/>
      <c r="R45" s="18" t="s">
        <v>2</v>
      </c>
      <c r="S45" s="28"/>
      <c r="T45" s="18" t="s">
        <v>2</v>
      </c>
      <c r="U45" s="18" t="s">
        <v>2</v>
      </c>
      <c r="V45" s="2"/>
      <c r="W45" s="1"/>
      <c r="X45" s="45">
        <f t="shared" si="0"/>
        <v>0.41666666666666702</v>
      </c>
      <c r="Y45" s="35">
        <f t="shared" si="1"/>
        <v>241</v>
      </c>
      <c r="Z45" s="35">
        <f t="shared" si="2"/>
        <v>175</v>
      </c>
      <c r="AA45" s="35">
        <f t="shared" si="3"/>
        <v>0</v>
      </c>
      <c r="AB45" s="35">
        <f t="shared" si="4"/>
        <v>0</v>
      </c>
      <c r="AC45" s="35">
        <f t="shared" si="11"/>
        <v>416</v>
      </c>
      <c r="AD45" s="40">
        <f t="shared" si="12"/>
        <v>1013</v>
      </c>
      <c r="AE45" s="40"/>
      <c r="AF45" s="40">
        <f t="shared" si="13"/>
        <v>989</v>
      </c>
      <c r="AG45" s="40"/>
      <c r="AH45" s="40">
        <f t="shared" si="14"/>
        <v>0</v>
      </c>
      <c r="AI45" s="40"/>
      <c r="AJ45" s="40">
        <f t="shared" si="15"/>
        <v>0</v>
      </c>
      <c r="AK45" s="40"/>
      <c r="AL45" s="40">
        <f t="shared" si="16"/>
        <v>2002</v>
      </c>
      <c r="AM45" s="97"/>
    </row>
    <row r="46" spans="1:39" ht="18.75" customHeight="1" x14ac:dyDescent="0.25">
      <c r="A46" s="51">
        <v>0.42708333333333298</v>
      </c>
      <c r="B46" s="109">
        <v>262</v>
      </c>
      <c r="C46" s="18" t="s">
        <v>2</v>
      </c>
      <c r="D46" s="109">
        <v>205</v>
      </c>
      <c r="E46" s="18" t="s">
        <v>2</v>
      </c>
      <c r="F46" s="28"/>
      <c r="G46" s="18" t="s">
        <v>2</v>
      </c>
      <c r="H46" s="28"/>
      <c r="I46" s="18" t="s">
        <v>2</v>
      </c>
      <c r="J46" s="18" t="s">
        <v>2</v>
      </c>
      <c r="K46" s="41">
        <v>0.92708333333333204</v>
      </c>
      <c r="L46" s="11"/>
      <c r="M46" s="109">
        <v>150</v>
      </c>
      <c r="N46" s="18" t="s">
        <v>2</v>
      </c>
      <c r="O46" s="109">
        <v>164</v>
      </c>
      <c r="P46" s="18" t="s">
        <v>2</v>
      </c>
      <c r="Q46" s="28"/>
      <c r="R46" s="18" t="s">
        <v>2</v>
      </c>
      <c r="S46" s="28"/>
      <c r="T46" s="18" t="s">
        <v>2</v>
      </c>
      <c r="U46" s="18" t="s">
        <v>2</v>
      </c>
      <c r="V46" s="2"/>
      <c r="W46" s="1"/>
      <c r="X46" s="45">
        <f t="shared" si="0"/>
        <v>0.42708333333333298</v>
      </c>
      <c r="Y46" s="35">
        <f t="shared" si="1"/>
        <v>262</v>
      </c>
      <c r="Z46" s="35">
        <f t="shared" si="2"/>
        <v>205</v>
      </c>
      <c r="AA46" s="35">
        <f t="shared" si="3"/>
        <v>0</v>
      </c>
      <c r="AB46" s="35">
        <f t="shared" si="4"/>
        <v>0</v>
      </c>
      <c r="AC46" s="35">
        <f t="shared" si="11"/>
        <v>467</v>
      </c>
      <c r="AD46" s="40">
        <f t="shared" si="12"/>
        <v>1029</v>
      </c>
      <c r="AE46" s="40"/>
      <c r="AF46" s="40">
        <f t="shared" si="13"/>
        <v>1075</v>
      </c>
      <c r="AG46" s="40"/>
      <c r="AH46" s="40">
        <f t="shared" si="14"/>
        <v>0</v>
      </c>
      <c r="AI46" s="40"/>
      <c r="AJ46" s="40">
        <f t="shared" si="15"/>
        <v>0</v>
      </c>
      <c r="AK46" s="40"/>
      <c r="AL46" s="40">
        <f t="shared" si="16"/>
        <v>2104</v>
      </c>
      <c r="AM46" s="97"/>
    </row>
    <row r="47" spans="1:39" ht="18.75" customHeight="1" x14ac:dyDescent="0.25">
      <c r="A47" s="104">
        <v>0.4375</v>
      </c>
      <c r="B47" s="107">
        <v>251</v>
      </c>
      <c r="C47" s="21" t="s">
        <v>2</v>
      </c>
      <c r="D47" s="107">
        <v>315</v>
      </c>
      <c r="E47" s="21" t="s">
        <v>2</v>
      </c>
      <c r="F47" s="30"/>
      <c r="G47" s="21" t="s">
        <v>2</v>
      </c>
      <c r="H47" s="30"/>
      <c r="I47" s="21" t="s">
        <v>2</v>
      </c>
      <c r="J47" s="21" t="s">
        <v>2</v>
      </c>
      <c r="K47" s="106">
        <v>0.937499999999998</v>
      </c>
      <c r="L47" s="12"/>
      <c r="M47" s="107">
        <v>132</v>
      </c>
      <c r="N47" s="21" t="s">
        <v>2</v>
      </c>
      <c r="O47" s="107">
        <v>152</v>
      </c>
      <c r="P47" s="21" t="s">
        <v>2</v>
      </c>
      <c r="Q47" s="28"/>
      <c r="R47" s="18" t="s">
        <v>2</v>
      </c>
      <c r="S47" s="28"/>
      <c r="T47" s="18" t="s">
        <v>2</v>
      </c>
      <c r="U47" s="18" t="s">
        <v>2</v>
      </c>
      <c r="V47" s="2"/>
      <c r="W47" s="1"/>
      <c r="X47" s="45">
        <f t="shared" si="0"/>
        <v>0.4375</v>
      </c>
      <c r="Y47" s="35">
        <f t="shared" si="1"/>
        <v>251</v>
      </c>
      <c r="Z47" s="35">
        <f t="shared" si="2"/>
        <v>315</v>
      </c>
      <c r="AA47" s="35">
        <f t="shared" si="3"/>
        <v>0</v>
      </c>
      <c r="AB47" s="35">
        <f t="shared" si="4"/>
        <v>0</v>
      </c>
      <c r="AC47" s="35">
        <f t="shared" si="11"/>
        <v>566</v>
      </c>
      <c r="AD47" s="40">
        <f t="shared" si="12"/>
        <v>988</v>
      </c>
      <c r="AE47" s="40"/>
      <c r="AF47" s="40">
        <f t="shared" si="13"/>
        <v>1126</v>
      </c>
      <c r="AG47" s="40"/>
      <c r="AH47" s="40">
        <f t="shared" si="14"/>
        <v>0</v>
      </c>
      <c r="AI47" s="40"/>
      <c r="AJ47" s="40">
        <f t="shared" si="15"/>
        <v>0</v>
      </c>
      <c r="AK47" s="40"/>
      <c r="AL47" s="40">
        <f t="shared" si="16"/>
        <v>2114</v>
      </c>
      <c r="AM47" s="97"/>
    </row>
    <row r="48" spans="1:39" ht="18.75" customHeight="1" x14ac:dyDescent="0.25">
      <c r="A48" s="52">
        <v>0.44791666666666702</v>
      </c>
      <c r="B48" s="108">
        <v>259</v>
      </c>
      <c r="C48" s="101">
        <f>IF(ISBLANK(B45:B48)," ",SUM(B45:B48))</f>
        <v>1013</v>
      </c>
      <c r="D48" s="108">
        <v>294</v>
      </c>
      <c r="E48" s="101">
        <f>IF(ISBLANK(D45:D48)," ",SUM(D45:D48))</f>
        <v>989</v>
      </c>
      <c r="F48" s="102"/>
      <c r="G48" s="101" t="str">
        <f>IF(ISBLANK(F45:F48)," ",SUM(F45:F48))</f>
        <v xml:space="preserve"> </v>
      </c>
      <c r="H48" s="102"/>
      <c r="I48" s="101" t="str">
        <f>IF(ISBLANK(H45:H48)," ",SUM(H45:H48))</f>
        <v xml:space="preserve"> </v>
      </c>
      <c r="J48" s="101">
        <f>IF(SUM(C48,E48,G48,I48)=0," ",SUM(C48,E48,G48,I48))</f>
        <v>2002</v>
      </c>
      <c r="K48" s="42">
        <v>0.94791666666666496</v>
      </c>
      <c r="L48" s="103"/>
      <c r="M48" s="108">
        <v>103</v>
      </c>
      <c r="N48" s="101">
        <f>IF(ISBLANK(M45:M48)," ",SUM(M45:M48))</f>
        <v>563</v>
      </c>
      <c r="O48" s="108">
        <v>138</v>
      </c>
      <c r="P48" s="101">
        <f>IF(ISBLANK(O45:O48)," ",SUM(O45:O48))</f>
        <v>630</v>
      </c>
      <c r="Q48" s="29"/>
      <c r="R48" s="20" t="str">
        <f>IF(ISBLANK(Q45:Q48)," ",SUM(Q45:Q48))</f>
        <v xml:space="preserve"> </v>
      </c>
      <c r="S48" s="29"/>
      <c r="T48" s="20" t="str">
        <f>IF(ISBLANK(S45:S48)," ",SUM(S45:S48))</f>
        <v xml:space="preserve"> </v>
      </c>
      <c r="U48" s="20">
        <f>IF(SUM(N48,P48,R48,T48)=0," ",SUM(N48,P48,R48,T48))</f>
        <v>1193</v>
      </c>
      <c r="V48" s="2"/>
      <c r="W48" s="1"/>
      <c r="X48" s="45">
        <f t="shared" si="0"/>
        <v>0.44791666666666702</v>
      </c>
      <c r="Y48" s="35">
        <f t="shared" si="1"/>
        <v>259</v>
      </c>
      <c r="Z48" s="35">
        <f t="shared" si="2"/>
        <v>294</v>
      </c>
      <c r="AA48" s="35">
        <f t="shared" si="3"/>
        <v>0</v>
      </c>
      <c r="AB48" s="35">
        <f t="shared" si="4"/>
        <v>0</v>
      </c>
      <c r="AC48" s="35">
        <f t="shared" si="11"/>
        <v>553</v>
      </c>
      <c r="AD48" s="40">
        <f t="shared" si="12"/>
        <v>1044</v>
      </c>
      <c r="AE48" s="40"/>
      <c r="AF48" s="40">
        <f t="shared" si="13"/>
        <v>1079</v>
      </c>
      <c r="AG48" s="40"/>
      <c r="AH48" s="40">
        <f t="shared" si="14"/>
        <v>0</v>
      </c>
      <c r="AI48" s="40"/>
      <c r="AJ48" s="40">
        <f t="shared" si="15"/>
        <v>0</v>
      </c>
      <c r="AK48" s="40"/>
      <c r="AL48" s="40">
        <f t="shared" si="16"/>
        <v>2123</v>
      </c>
      <c r="AM48" s="97"/>
    </row>
    <row r="49" spans="1:66" ht="22.5" customHeight="1" x14ac:dyDescent="0.25">
      <c r="A49" s="51">
        <v>0.45833333333333298</v>
      </c>
      <c r="B49" s="109">
        <v>257</v>
      </c>
      <c r="C49" s="18" t="s">
        <v>2</v>
      </c>
      <c r="D49" s="109">
        <v>261</v>
      </c>
      <c r="E49" s="18" t="s">
        <v>2</v>
      </c>
      <c r="F49" s="28"/>
      <c r="G49" s="18" t="s">
        <v>2</v>
      </c>
      <c r="H49" s="28"/>
      <c r="I49" s="18" t="s">
        <v>2</v>
      </c>
      <c r="J49" s="18" t="s">
        <v>2</v>
      </c>
      <c r="K49" s="41">
        <v>0.95833333333333204</v>
      </c>
      <c r="L49" s="11"/>
      <c r="M49" s="109">
        <v>115</v>
      </c>
      <c r="N49" s="18" t="s">
        <v>2</v>
      </c>
      <c r="O49" s="109">
        <v>143</v>
      </c>
      <c r="P49" s="18" t="s">
        <v>2</v>
      </c>
      <c r="Q49" s="28"/>
      <c r="R49" s="18" t="s">
        <v>2</v>
      </c>
      <c r="S49" s="28"/>
      <c r="T49" s="18" t="s">
        <v>2</v>
      </c>
      <c r="U49" s="18" t="s">
        <v>2</v>
      </c>
      <c r="V49" s="2"/>
      <c r="W49" s="1"/>
      <c r="X49" s="45">
        <f t="shared" si="0"/>
        <v>0.45833333333333298</v>
      </c>
      <c r="Y49" s="35">
        <f t="shared" si="1"/>
        <v>257</v>
      </c>
      <c r="Z49" s="35">
        <f t="shared" si="2"/>
        <v>261</v>
      </c>
      <c r="AA49" s="35">
        <f t="shared" si="3"/>
        <v>0</v>
      </c>
      <c r="AB49" s="35">
        <f t="shared" si="4"/>
        <v>0</v>
      </c>
      <c r="AC49" s="35">
        <f t="shared" si="11"/>
        <v>518</v>
      </c>
      <c r="AD49" s="40">
        <f t="shared" si="12"/>
        <v>1072</v>
      </c>
      <c r="AE49" s="40"/>
      <c r="AF49" s="40">
        <f t="shared" si="13"/>
        <v>1068</v>
      </c>
      <c r="AG49" s="40"/>
      <c r="AH49" s="40">
        <f t="shared" si="14"/>
        <v>0</v>
      </c>
      <c r="AI49" s="40"/>
      <c r="AJ49" s="40">
        <f t="shared" si="15"/>
        <v>0</v>
      </c>
      <c r="AK49" s="40"/>
      <c r="AL49" s="40">
        <f t="shared" si="16"/>
        <v>2140</v>
      </c>
      <c r="AM49" s="97"/>
    </row>
    <row r="50" spans="1:66" s="2" customFormat="1" ht="18.75" customHeight="1" x14ac:dyDescent="0.25">
      <c r="A50" s="51">
        <v>0.46875</v>
      </c>
      <c r="B50" s="109">
        <v>221</v>
      </c>
      <c r="C50" s="18" t="s">
        <v>2</v>
      </c>
      <c r="D50" s="109">
        <v>256</v>
      </c>
      <c r="E50" s="18" t="s">
        <v>2</v>
      </c>
      <c r="F50" s="28"/>
      <c r="G50" s="18" t="s">
        <v>2</v>
      </c>
      <c r="H50" s="28"/>
      <c r="I50" s="18" t="s">
        <v>2</v>
      </c>
      <c r="J50" s="18" t="s">
        <v>2</v>
      </c>
      <c r="K50" s="41">
        <v>0.968749999999998</v>
      </c>
      <c r="L50" s="11"/>
      <c r="M50" s="109">
        <v>104</v>
      </c>
      <c r="N50" s="18" t="s">
        <v>2</v>
      </c>
      <c r="O50" s="109">
        <v>108</v>
      </c>
      <c r="P50" s="18" t="s">
        <v>2</v>
      </c>
      <c r="Q50" s="28"/>
      <c r="R50" s="18" t="s">
        <v>2</v>
      </c>
      <c r="S50" s="28"/>
      <c r="T50" s="18" t="s">
        <v>2</v>
      </c>
      <c r="U50" s="18" t="s">
        <v>2</v>
      </c>
      <c r="W50" s="1"/>
      <c r="X50" s="45">
        <f t="shared" si="0"/>
        <v>0.46875</v>
      </c>
      <c r="Y50" s="35">
        <f t="shared" si="1"/>
        <v>221</v>
      </c>
      <c r="Z50" s="35">
        <f t="shared" si="2"/>
        <v>256</v>
      </c>
      <c r="AA50" s="35">
        <f t="shared" si="3"/>
        <v>0</v>
      </c>
      <c r="AB50" s="35">
        <f t="shared" si="4"/>
        <v>0</v>
      </c>
      <c r="AC50" s="35">
        <f t="shared" si="11"/>
        <v>477</v>
      </c>
      <c r="AD50" s="40">
        <f t="shared" si="12"/>
        <v>1112</v>
      </c>
      <c r="AE50" s="40"/>
      <c r="AF50" s="40">
        <f t="shared" si="13"/>
        <v>1058</v>
      </c>
      <c r="AG50" s="40"/>
      <c r="AH50" s="40">
        <f t="shared" si="14"/>
        <v>0</v>
      </c>
      <c r="AI50" s="40"/>
      <c r="AJ50" s="40">
        <f t="shared" si="15"/>
        <v>0</v>
      </c>
      <c r="AK50" s="40"/>
      <c r="AL50" s="40">
        <f t="shared" si="16"/>
        <v>2170</v>
      </c>
      <c r="AM50" s="97"/>
    </row>
    <row r="51" spans="1:66" s="2" customFormat="1" ht="18.75" customHeight="1" x14ac:dyDescent="0.25">
      <c r="A51" s="51">
        <v>0.47916666666666702</v>
      </c>
      <c r="B51" s="109">
        <v>307</v>
      </c>
      <c r="C51" s="18" t="s">
        <v>2</v>
      </c>
      <c r="D51" s="109">
        <v>268</v>
      </c>
      <c r="E51" s="18" t="s">
        <v>2</v>
      </c>
      <c r="F51" s="28"/>
      <c r="G51" s="18" t="s">
        <v>2</v>
      </c>
      <c r="H51" s="28"/>
      <c r="I51" s="18" t="s">
        <v>2</v>
      </c>
      <c r="J51" s="18" t="s">
        <v>2</v>
      </c>
      <c r="K51" s="41">
        <v>0.97916666666666496</v>
      </c>
      <c r="L51" s="11"/>
      <c r="M51" s="109">
        <v>95</v>
      </c>
      <c r="N51" s="18" t="s">
        <v>2</v>
      </c>
      <c r="O51" s="109">
        <v>96</v>
      </c>
      <c r="P51" s="18" t="s">
        <v>2</v>
      </c>
      <c r="Q51" s="28"/>
      <c r="R51" s="18" t="s">
        <v>2</v>
      </c>
      <c r="S51" s="28"/>
      <c r="T51" s="18" t="s">
        <v>2</v>
      </c>
      <c r="U51" s="18" t="s">
        <v>2</v>
      </c>
      <c r="W51" s="1"/>
      <c r="X51" s="45">
        <f t="shared" si="0"/>
        <v>0.47916666666666702</v>
      </c>
      <c r="Y51" s="35">
        <f t="shared" si="1"/>
        <v>307</v>
      </c>
      <c r="Z51" s="35">
        <f t="shared" si="2"/>
        <v>268</v>
      </c>
      <c r="AA51" s="35">
        <f t="shared" si="3"/>
        <v>0</v>
      </c>
      <c r="AB51" s="35">
        <f t="shared" si="4"/>
        <v>0</v>
      </c>
      <c r="AC51" s="35">
        <f t="shared" si="11"/>
        <v>575</v>
      </c>
      <c r="AD51" s="40">
        <f t="shared" si="12"/>
        <v>1253</v>
      </c>
      <c r="AE51" s="40"/>
      <c r="AF51" s="40">
        <f t="shared" si="13"/>
        <v>1071</v>
      </c>
      <c r="AG51" s="40"/>
      <c r="AH51" s="40">
        <f t="shared" si="14"/>
        <v>0</v>
      </c>
      <c r="AI51" s="40"/>
      <c r="AJ51" s="40">
        <f t="shared" si="15"/>
        <v>0</v>
      </c>
      <c r="AK51" s="40"/>
      <c r="AL51" s="40">
        <f t="shared" si="16"/>
        <v>2324</v>
      </c>
      <c r="AM51" s="97"/>
    </row>
    <row r="52" spans="1:66" s="2" customFormat="1" ht="18.75" customHeight="1" thickBot="1" x14ac:dyDescent="0.3">
      <c r="A52" s="52">
        <v>0.48958333333333298</v>
      </c>
      <c r="B52" s="109">
        <v>287</v>
      </c>
      <c r="C52" s="21">
        <f>IF(ISBLANK(B49:B52)," ",SUM(B49:B52))</f>
        <v>1072</v>
      </c>
      <c r="D52" s="109">
        <v>283</v>
      </c>
      <c r="E52" s="21">
        <f>IF(ISBLANK(D49:D52)," ",SUM(D49:D52))</f>
        <v>1068</v>
      </c>
      <c r="F52" s="29"/>
      <c r="G52" s="21" t="str">
        <f>IF(ISBLANK(F49:F52)," ",SUM(F49:F52))</f>
        <v xml:space="preserve"> </v>
      </c>
      <c r="H52" s="29"/>
      <c r="I52" s="21" t="str">
        <f>IF(ISBLANK(H49:H52)," ",SUM(H49:H52))</f>
        <v xml:space="preserve"> </v>
      </c>
      <c r="J52" s="21">
        <f>IF(SUM(C52,E52,G52,I52)=0," ",SUM(C52,E52,G52,I52))</f>
        <v>2140</v>
      </c>
      <c r="K52" s="42">
        <v>0.98958333333333204</v>
      </c>
      <c r="L52" s="12"/>
      <c r="M52" s="109">
        <v>89</v>
      </c>
      <c r="N52" s="21">
        <f>IF(ISBLANK(M49:M52)," ",SUM(M49:M52))</f>
        <v>403</v>
      </c>
      <c r="O52" s="109">
        <v>84</v>
      </c>
      <c r="P52" s="21">
        <f>IF(ISBLANK(O49:O52)," ",SUM(O49:O52))</f>
        <v>431</v>
      </c>
      <c r="Q52" s="30"/>
      <c r="R52" s="21" t="str">
        <f>IF(ISBLANK(Q49:Q52)," ",SUM(Q49:Q52))</f>
        <v xml:space="preserve"> </v>
      </c>
      <c r="S52" s="30"/>
      <c r="T52" s="21" t="str">
        <f>IF(ISBLANK(S49:S52)," ",SUM(S49:S52))</f>
        <v xml:space="preserve"> </v>
      </c>
      <c r="U52" s="21">
        <f>IF(SUM(N52,P52,R52,T52)=0," ",SUM(N52,P52,R52,T52))</f>
        <v>834</v>
      </c>
      <c r="W52" s="1"/>
      <c r="X52" s="45">
        <f t="shared" si="0"/>
        <v>0.48958333333333298</v>
      </c>
      <c r="Y52" s="35">
        <f t="shared" si="1"/>
        <v>287</v>
      </c>
      <c r="Z52" s="35">
        <f t="shared" si="2"/>
        <v>283</v>
      </c>
      <c r="AA52" s="35">
        <f t="shared" si="3"/>
        <v>0</v>
      </c>
      <c r="AB52" s="35">
        <f t="shared" si="4"/>
        <v>0</v>
      </c>
      <c r="AC52" s="35">
        <f t="shared" si="11"/>
        <v>570</v>
      </c>
      <c r="AD52" s="40">
        <f t="shared" si="12"/>
        <v>1263</v>
      </c>
      <c r="AE52" s="40"/>
      <c r="AF52" s="40">
        <f t="shared" si="13"/>
        <v>1085</v>
      </c>
      <c r="AG52" s="40"/>
      <c r="AH52" s="40">
        <f t="shared" si="14"/>
        <v>0</v>
      </c>
      <c r="AI52" s="40"/>
      <c r="AJ52" s="40">
        <f t="shared" si="15"/>
        <v>0</v>
      </c>
      <c r="AK52" s="40"/>
      <c r="AL52" s="40">
        <f t="shared" si="16"/>
        <v>2348</v>
      </c>
      <c r="AM52" s="97"/>
    </row>
    <row r="53" spans="1:66" s="9" customFormat="1" ht="27.75" customHeight="1" thickTop="1" x14ac:dyDescent="0.25">
      <c r="A53" s="53" t="s">
        <v>6</v>
      </c>
      <c r="B53" s="23"/>
      <c r="C53" s="22">
        <f>IF(SUM(C8,C12,C16,C20,C24,C28,C32,C36,C40,C44,C48,C52)=0,"",SUM(C8,C12,C16,C20,C24,C28,C32,C36,C40,C44,C48,C52))</f>
        <v>7615</v>
      </c>
      <c r="D53" s="23"/>
      <c r="E53" s="22">
        <f>IF(SUM(E8,E12,E16,E20,E24,E28,E32,E36,E40,E44,E48,E52)=0,"",SUM(E8,E12,E16,E20,E24,E28,E32,E36,E40,E44,E48,E52))</f>
        <v>6030</v>
      </c>
      <c r="F53" s="23"/>
      <c r="G53" s="22" t="str">
        <f>IF(SUM(G8,G12,G16,G20,G24,G28,G32,G36,G40,G44,G48,G52)=0,"",SUM(G8,G12,G16,G20,G24,G28,G32,G36,G40,G44,G48,G52))</f>
        <v/>
      </c>
      <c r="H53" s="23"/>
      <c r="I53" s="22" t="str">
        <f>IF(SUM(I8,I12,I16,I20,I24,I28,I32,I36,I40,I44,I48,I52)=0,"",SUM(I8,I12,I16,I20,I24,I28,I32,I36,I40,I44,I48,I52))</f>
        <v/>
      </c>
      <c r="J53" s="63">
        <f>IF(SUM(J8,J12,J16,J20,J24,J28,J32,J36,J40,J44,J48,J52)=0,"",SUM(J8,J12,J16,J20,J24,J28,J32,J36,J40,J44,J48,J52))</f>
        <v>13645</v>
      </c>
      <c r="K53" s="8" t="s">
        <v>2</v>
      </c>
      <c r="L53" s="8"/>
      <c r="M53" s="23"/>
      <c r="N53" s="22">
        <f>IF(SUM(N8,N12,N16,N20,N24,N28,N32,N36,N40,N44,N48,N52)=0,"",SUM(N8,N12,N16,N20,N24,N28,N32,N36,N40,N44,N48,N52))</f>
        <v>12325</v>
      </c>
      <c r="O53" s="23"/>
      <c r="P53" s="22">
        <f>IF(SUM(P8,P12,P16,P20,P24,P28,P32,P36,P40,P44,P48,P52)=0,"",SUM(P8,P12,P16,P20,P24,P28,P32,P36,P40,P44,P48,P52))</f>
        <v>12774</v>
      </c>
      <c r="Q53" s="23"/>
      <c r="R53" s="22" t="str">
        <f>IF(SUM(R8,R12,R16,R20,R24,R28,R32,R36,R40,R44,R48,R52)=0,"",SUM(R8,R12,R16,R20,R24,R28,R32,R36,R40,R44,R48,R52))</f>
        <v/>
      </c>
      <c r="S53" s="23"/>
      <c r="T53" s="22" t="str">
        <f>IF(SUM(T8,T12,T16,T20,T24,T28,T32,T36,T40,T44,T48,T52)=0,"",SUM(T8,T12,T16,T20,T24,T28,T32,T36,T40,T44,T48,T52))</f>
        <v/>
      </c>
      <c r="U53" s="63">
        <f>IF(SUM(U8,U12,U16,U20,U24,U28,U32,U36,U40,U44,U48,U52)=0,"",SUM(U8,U12,U16,U20,U24,U28,U32,U36,U40,U44,U48,U52))</f>
        <v>25099</v>
      </c>
      <c r="W53" s="37" t="s">
        <v>12</v>
      </c>
      <c r="X53" s="46">
        <f t="shared" ref="X53:X100" si="17">K5</f>
        <v>0.5</v>
      </c>
      <c r="Y53" s="36">
        <f t="shared" ref="Y53:Y100" si="18">M5</f>
        <v>297</v>
      </c>
      <c r="Z53" s="36">
        <f t="shared" ref="Z53:Z100" si="19">O5</f>
        <v>251</v>
      </c>
      <c r="AA53" s="36">
        <f t="shared" ref="AA53:AA100" si="20">Q5</f>
        <v>0</v>
      </c>
      <c r="AB53" s="36">
        <f t="shared" ref="AB53:AB100" si="21">S5</f>
        <v>0</v>
      </c>
      <c r="AC53" s="35">
        <f t="shared" si="11"/>
        <v>548</v>
      </c>
      <c r="AD53" s="40">
        <f t="shared" si="12"/>
        <v>1327</v>
      </c>
      <c r="AE53" s="40"/>
      <c r="AF53" s="40">
        <f t="shared" si="13"/>
        <v>1106</v>
      </c>
      <c r="AG53" s="40"/>
      <c r="AH53" s="40">
        <f t="shared" si="14"/>
        <v>0</v>
      </c>
      <c r="AI53" s="40"/>
      <c r="AJ53" s="40">
        <f t="shared" si="15"/>
        <v>0</v>
      </c>
      <c r="AK53" s="40"/>
      <c r="AL53" s="40">
        <f t="shared" si="16"/>
        <v>2433</v>
      </c>
      <c r="AM53" s="97"/>
    </row>
    <row r="54" spans="1:66" s="9" customFormat="1" ht="23.25" customHeight="1" x14ac:dyDescent="0.25">
      <c r="A54" s="118" t="s">
        <v>29</v>
      </c>
      <c r="B54" s="13"/>
      <c r="C54" s="13"/>
      <c r="D54" s="127" t="s">
        <v>33</v>
      </c>
      <c r="E54" s="127"/>
      <c r="F54" s="127"/>
      <c r="G54" s="127"/>
      <c r="H54" s="13"/>
      <c r="I54" s="13"/>
      <c r="J54" s="13"/>
      <c r="K54" s="13"/>
      <c r="L54" s="13"/>
      <c r="M54" s="13"/>
      <c r="N54" s="123" t="s">
        <v>7</v>
      </c>
      <c r="O54" s="123"/>
      <c r="P54" s="123"/>
      <c r="Q54" s="123"/>
      <c r="R54" s="123"/>
      <c r="S54" s="123"/>
      <c r="T54" s="123"/>
      <c r="U54" s="123"/>
      <c r="W54" s="10"/>
      <c r="X54" s="46">
        <f t="shared" si="17"/>
        <v>0.51041666666666663</v>
      </c>
      <c r="Y54" s="36">
        <f t="shared" si="18"/>
        <v>362</v>
      </c>
      <c r="Z54" s="36">
        <f t="shared" si="19"/>
        <v>269</v>
      </c>
      <c r="AA54" s="36">
        <f t="shared" si="20"/>
        <v>0</v>
      </c>
      <c r="AB54" s="36">
        <f t="shared" si="21"/>
        <v>0</v>
      </c>
      <c r="AC54" s="35">
        <f t="shared" si="11"/>
        <v>631</v>
      </c>
      <c r="AD54" s="40">
        <f t="shared" si="12"/>
        <v>1387</v>
      </c>
      <c r="AE54" s="40"/>
      <c r="AF54" s="40">
        <f t="shared" si="13"/>
        <v>1076</v>
      </c>
      <c r="AG54" s="40"/>
      <c r="AH54" s="40">
        <f t="shared" si="14"/>
        <v>0</v>
      </c>
      <c r="AI54" s="40"/>
      <c r="AJ54" s="40">
        <f t="shared" si="15"/>
        <v>0</v>
      </c>
      <c r="AK54" s="40"/>
      <c r="AL54" s="40">
        <f t="shared" si="16"/>
        <v>2463</v>
      </c>
      <c r="AM54" s="97"/>
    </row>
    <row r="55" spans="1:66" s="2" customFormat="1" ht="15" customHeight="1" x14ac:dyDescent="0.25">
      <c r="A55" s="95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4"/>
      <c r="M55" s="4"/>
      <c r="N55" s="86" t="s">
        <v>8</v>
      </c>
      <c r="O55" s="87"/>
      <c r="P55" s="86" t="s">
        <v>9</v>
      </c>
      <c r="Q55" s="87"/>
      <c r="R55" s="86" t="s">
        <v>10</v>
      </c>
      <c r="S55" s="87"/>
      <c r="T55" s="86" t="s">
        <v>11</v>
      </c>
      <c r="U55" s="88" t="s">
        <v>15</v>
      </c>
      <c r="V55" s="9"/>
      <c r="W55" s="1"/>
      <c r="X55" s="46">
        <f t="shared" si="17"/>
        <v>0.52083333333333304</v>
      </c>
      <c r="Y55" s="36">
        <f t="shared" si="18"/>
        <v>317</v>
      </c>
      <c r="Z55" s="36">
        <f t="shared" si="19"/>
        <v>282</v>
      </c>
      <c r="AA55" s="36">
        <f t="shared" si="20"/>
        <v>0</v>
      </c>
      <c r="AB55" s="36">
        <f t="shared" si="21"/>
        <v>0</v>
      </c>
      <c r="AC55" s="35">
        <f t="shared" si="11"/>
        <v>599</v>
      </c>
      <c r="AD55" s="40">
        <f t="shared" si="12"/>
        <v>1354</v>
      </c>
      <c r="AE55" s="40"/>
      <c r="AF55" s="40">
        <f t="shared" si="13"/>
        <v>1063</v>
      </c>
      <c r="AG55" s="40"/>
      <c r="AH55" s="40">
        <f t="shared" si="14"/>
        <v>0</v>
      </c>
      <c r="AI55" s="40"/>
      <c r="AJ55" s="40">
        <f t="shared" si="15"/>
        <v>0</v>
      </c>
      <c r="AK55" s="40"/>
      <c r="AL55" s="40">
        <f t="shared" si="16"/>
        <v>2417</v>
      </c>
      <c r="AM55" s="97"/>
    </row>
    <row r="56" spans="1:66" s="2" customFormat="1" ht="22.5" customHeight="1" x14ac:dyDescent="0.25">
      <c r="A56" s="95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4"/>
      <c r="M56" s="4"/>
      <c r="N56" s="24">
        <f>IF(OR(N53="",C53="")," ",(N53+C53))</f>
        <v>19940</v>
      </c>
      <c r="O56" s="24"/>
      <c r="P56" s="24">
        <f>IF(OR(P53="",E53="")," ",(P53+E53))</f>
        <v>18804</v>
      </c>
      <c r="Q56" s="24"/>
      <c r="R56" s="24" t="str">
        <f>IF(OR(R53="",G53="")," ",(R53+G53))</f>
        <v xml:space="preserve"> </v>
      </c>
      <c r="S56" s="31" t="s">
        <v>2</v>
      </c>
      <c r="T56" s="24" t="str">
        <f>IF(OR(T53="",I53="")," ",(T53+I53))</f>
        <v xml:space="preserve"> </v>
      </c>
      <c r="U56" s="62">
        <f>IF(OR(U53="",J53="")," ",(U53+J53))</f>
        <v>38744</v>
      </c>
      <c r="V56" s="10"/>
      <c r="W56" s="1"/>
      <c r="X56" s="46">
        <f t="shared" si="17"/>
        <v>0.53125</v>
      </c>
      <c r="Y56" s="36">
        <f t="shared" si="18"/>
        <v>351</v>
      </c>
      <c r="Z56" s="36">
        <f t="shared" si="19"/>
        <v>304</v>
      </c>
      <c r="AA56" s="36">
        <f t="shared" si="20"/>
        <v>0</v>
      </c>
      <c r="AB56" s="36">
        <f t="shared" si="21"/>
        <v>0</v>
      </c>
      <c r="AC56" s="35">
        <f t="shared" si="11"/>
        <v>655</v>
      </c>
      <c r="AD56" s="40">
        <f t="shared" si="12"/>
        <v>1381</v>
      </c>
      <c r="AE56" s="40"/>
      <c r="AF56" s="40">
        <f t="shared" si="13"/>
        <v>1067</v>
      </c>
      <c r="AG56" s="40"/>
      <c r="AH56" s="40">
        <f t="shared" si="14"/>
        <v>0</v>
      </c>
      <c r="AI56" s="40"/>
      <c r="AJ56" s="40">
        <f t="shared" si="15"/>
        <v>0</v>
      </c>
      <c r="AK56" s="40"/>
      <c r="AL56" s="40">
        <f t="shared" si="16"/>
        <v>2448</v>
      </c>
      <c r="AM56" s="97"/>
    </row>
    <row r="57" spans="1:66" ht="22.5" customHeight="1" x14ac:dyDescent="0.25">
      <c r="A57" s="55"/>
      <c r="B57" s="4"/>
      <c r="C57" s="121" t="s">
        <v>13</v>
      </c>
      <c r="D57" s="122"/>
      <c r="E57" s="122"/>
      <c r="F57" s="122"/>
      <c r="G57" s="122"/>
      <c r="H57" s="122"/>
      <c r="I57" s="122"/>
      <c r="J57" s="122"/>
      <c r="K57" s="4"/>
      <c r="L57" s="4"/>
      <c r="M57" s="4"/>
      <c r="N57" s="121" t="s">
        <v>12</v>
      </c>
      <c r="O57" s="122"/>
      <c r="P57" s="122"/>
      <c r="Q57" s="122"/>
      <c r="R57" s="122"/>
      <c r="S57" s="122"/>
      <c r="T57" s="122"/>
      <c r="U57" s="122"/>
      <c r="X57" s="46">
        <f t="shared" si="17"/>
        <v>0.54166666666666696</v>
      </c>
      <c r="Y57" s="36">
        <f t="shared" si="18"/>
        <v>357</v>
      </c>
      <c r="Z57" s="36">
        <f t="shared" si="19"/>
        <v>221</v>
      </c>
      <c r="AA57" s="36">
        <f t="shared" si="20"/>
        <v>0</v>
      </c>
      <c r="AB57" s="36">
        <f t="shared" si="21"/>
        <v>0</v>
      </c>
      <c r="AC57" s="35">
        <f t="shared" si="11"/>
        <v>578</v>
      </c>
      <c r="AD57" s="40">
        <f t="shared" si="12"/>
        <v>1323</v>
      </c>
      <c r="AE57" s="40"/>
      <c r="AF57" s="40">
        <f t="shared" si="13"/>
        <v>1006</v>
      </c>
      <c r="AG57" s="40"/>
      <c r="AH57" s="40">
        <f t="shared" si="14"/>
        <v>0</v>
      </c>
      <c r="AI57" s="40"/>
      <c r="AJ57" s="40">
        <f t="shared" si="15"/>
        <v>0</v>
      </c>
      <c r="AK57" s="40"/>
      <c r="AL57" s="40">
        <f t="shared" si="16"/>
        <v>2329</v>
      </c>
      <c r="AM57" s="97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8.75" thickBot="1" x14ac:dyDescent="0.3">
      <c r="A58" s="83" t="s">
        <v>20</v>
      </c>
      <c r="B58" s="84"/>
      <c r="C58" s="93">
        <f>IF(C53="","",C53/$J$53)</f>
        <v>0.55807988274093079</v>
      </c>
      <c r="D58" s="93"/>
      <c r="E58" s="93">
        <f>IF(E53="","",E53/$J$53)</f>
        <v>0.44192011725906927</v>
      </c>
      <c r="F58" s="93"/>
      <c r="G58" s="93" t="str">
        <f>IF(G53="","",G53/$J$53)</f>
        <v/>
      </c>
      <c r="H58" s="93"/>
      <c r="I58" s="93" t="str">
        <f>IF(I53="","",I53/$J$53)</f>
        <v/>
      </c>
      <c r="J58" s="94">
        <f>IF(J53="","",J53/(J53+U53))</f>
        <v>0.35218356390666944</v>
      </c>
      <c r="K58" s="90"/>
      <c r="L58" s="85"/>
      <c r="M58" s="84"/>
      <c r="N58" s="93">
        <f>IF(N53="","",N53/$U$53)</f>
        <v>0.49105542053468265</v>
      </c>
      <c r="O58" s="93"/>
      <c r="P58" s="93">
        <f>IF(P53="","",P53/$U$53)</f>
        <v>0.50894457946531735</v>
      </c>
      <c r="Q58" s="93"/>
      <c r="R58" s="93" t="str">
        <f>IF(R53="","",R53/$U$53)</f>
        <v/>
      </c>
      <c r="S58" s="93"/>
      <c r="T58" s="93" t="str">
        <f>IF(T53="","",T53/$U$53)</f>
        <v/>
      </c>
      <c r="U58" s="94">
        <f>IF(U53="","",U53/(U53+J53))</f>
        <v>0.64781643609333062</v>
      </c>
      <c r="X58" s="46">
        <f t="shared" si="17"/>
        <v>0.55208333333333304</v>
      </c>
      <c r="Y58" s="36">
        <f t="shared" si="18"/>
        <v>329</v>
      </c>
      <c r="Z58" s="36">
        <f t="shared" si="19"/>
        <v>256</v>
      </c>
      <c r="AA58" s="36">
        <f t="shared" si="20"/>
        <v>0</v>
      </c>
      <c r="AB58" s="36">
        <f t="shared" si="21"/>
        <v>0</v>
      </c>
      <c r="AC58" s="35">
        <f t="shared" si="11"/>
        <v>585</v>
      </c>
      <c r="AD58" s="40">
        <f t="shared" si="12"/>
        <v>1266</v>
      </c>
      <c r="AE58" s="40"/>
      <c r="AF58" s="40">
        <f t="shared" si="13"/>
        <v>1045</v>
      </c>
      <c r="AG58" s="40"/>
      <c r="AH58" s="40">
        <f t="shared" si="14"/>
        <v>0</v>
      </c>
      <c r="AI58" s="40"/>
      <c r="AJ58" s="40">
        <f t="shared" si="15"/>
        <v>0</v>
      </c>
      <c r="AK58" s="40"/>
      <c r="AL58" s="40">
        <f t="shared" si="16"/>
        <v>2311</v>
      </c>
      <c r="AM58" s="97"/>
    </row>
    <row r="59" spans="1:66" ht="25.5" customHeight="1" thickTop="1" x14ac:dyDescent="0.25">
      <c r="A59" s="77" t="s">
        <v>21</v>
      </c>
      <c r="B59" s="78"/>
      <c r="C59" s="79">
        <f>IF(AE11&lt;&gt;0,AE11,"")</f>
        <v>0.3125</v>
      </c>
      <c r="D59" s="79"/>
      <c r="E59" s="79">
        <f>IF(AG11&lt;&gt;0,AG11,"")</f>
        <v>0.4375</v>
      </c>
      <c r="F59" s="79"/>
      <c r="G59" s="79" t="str">
        <f>IF(AI11&lt;&gt;0,AI11,"")</f>
        <v/>
      </c>
      <c r="H59" s="79"/>
      <c r="I59" s="79" t="str">
        <f>IF(AK11&lt;&gt;0,AK11,"")</f>
        <v/>
      </c>
      <c r="J59" s="80">
        <f>IF(AM11&lt;&gt;0,AM11,"")</f>
        <v>0.48958333333333298</v>
      </c>
      <c r="K59" s="91"/>
      <c r="L59" s="81"/>
      <c r="M59" s="82"/>
      <c r="N59" s="79">
        <f>IF(AE91&lt;&gt;0,AE91,"")</f>
        <v>0.69791666666666596</v>
      </c>
      <c r="O59" s="79"/>
      <c r="P59" s="79">
        <f>IF(AG91&lt;&gt;0,AG91,"")</f>
        <v>0.64583333333333304</v>
      </c>
      <c r="Q59" s="79"/>
      <c r="R59" s="79" t="str">
        <f>IF(AI91&lt;&gt;0,AI91,"")</f>
        <v/>
      </c>
      <c r="S59" s="79"/>
      <c r="T59" s="79" t="str">
        <f>IF(AK91&lt;&gt;0,AK91,"")</f>
        <v/>
      </c>
      <c r="U59" s="80">
        <f>IF(AM91&lt;&gt;0,AM91,"")</f>
        <v>0.64583333333333304</v>
      </c>
      <c r="X59" s="46">
        <f t="shared" si="17"/>
        <v>0.5625</v>
      </c>
      <c r="Y59" s="36">
        <f t="shared" si="18"/>
        <v>344</v>
      </c>
      <c r="Z59" s="36">
        <f t="shared" si="19"/>
        <v>286</v>
      </c>
      <c r="AA59" s="36">
        <f t="shared" si="20"/>
        <v>0</v>
      </c>
      <c r="AB59" s="36">
        <f t="shared" si="21"/>
        <v>0</v>
      </c>
      <c r="AC59" s="35">
        <f t="shared" si="11"/>
        <v>630</v>
      </c>
      <c r="AD59" s="40">
        <f t="shared" si="12"/>
        <v>1241</v>
      </c>
      <c r="AE59" s="40"/>
      <c r="AF59" s="40">
        <f t="shared" si="13"/>
        <v>1064</v>
      </c>
      <c r="AG59" s="40"/>
      <c r="AH59" s="40">
        <f t="shared" si="14"/>
        <v>0</v>
      </c>
      <c r="AI59" s="40"/>
      <c r="AJ59" s="40">
        <f t="shared" si="15"/>
        <v>0</v>
      </c>
      <c r="AK59" s="40"/>
      <c r="AL59" s="40">
        <f t="shared" si="16"/>
        <v>2305</v>
      </c>
      <c r="AM59" s="97"/>
    </row>
    <row r="60" spans="1:66" ht="23.25" customHeight="1" x14ac:dyDescent="0.25">
      <c r="A60" s="64" t="s">
        <v>22</v>
      </c>
      <c r="B60" s="65"/>
      <c r="C60" s="66">
        <f>IF(AE6&lt;&gt;0,AE6,"")</f>
        <v>1471</v>
      </c>
      <c r="D60" s="66"/>
      <c r="E60" s="66">
        <f>IF(AG6&lt;&gt;0,AG6,"")</f>
        <v>1126</v>
      </c>
      <c r="F60" s="66"/>
      <c r="G60" s="66" t="str">
        <f>IF(AI6&lt;&gt;0,AI6,"")</f>
        <v/>
      </c>
      <c r="H60" s="66"/>
      <c r="I60" s="66" t="str">
        <f>IF(AK6&lt;&gt;0,AK6,"")</f>
        <v/>
      </c>
      <c r="J60" s="67">
        <f>IF(AM6&lt;&gt;0,AM6,"")</f>
        <v>2348</v>
      </c>
      <c r="K60" s="12"/>
      <c r="L60" s="68"/>
      <c r="M60" s="65"/>
      <c r="N60" s="69">
        <f>IF(AE86&lt;&gt;0,AE86,"")</f>
        <v>1450</v>
      </c>
      <c r="O60" s="70"/>
      <c r="P60" s="69">
        <f>IF(AG86&lt;&gt;0,AG86,"")</f>
        <v>1697</v>
      </c>
      <c r="Q60" s="70"/>
      <c r="R60" s="69" t="str">
        <f>IF(AI86&lt;&gt;0,SUM(AI92:AI95),"")</f>
        <v/>
      </c>
      <c r="S60" s="70"/>
      <c r="T60" s="69" t="str">
        <f>IF(AK86&lt;&gt;0,AK86,"")</f>
        <v/>
      </c>
      <c r="U60" s="71">
        <f>IF(AM86&lt;&gt;0,AM86,"")</f>
        <v>3062</v>
      </c>
      <c r="X60" s="46">
        <f t="shared" si="17"/>
        <v>0.57291666666666596</v>
      </c>
      <c r="Y60" s="36">
        <f t="shared" si="18"/>
        <v>293</v>
      </c>
      <c r="Z60" s="36">
        <f t="shared" si="19"/>
        <v>243</v>
      </c>
      <c r="AA60" s="36">
        <f t="shared" si="20"/>
        <v>0</v>
      </c>
      <c r="AB60" s="36">
        <f t="shared" si="21"/>
        <v>0</v>
      </c>
      <c r="AC60" s="35">
        <f t="shared" si="11"/>
        <v>536</v>
      </c>
      <c r="AD60" s="40">
        <f t="shared" si="12"/>
        <v>1166</v>
      </c>
      <c r="AE60" s="40"/>
      <c r="AF60" s="40">
        <f t="shared" si="13"/>
        <v>1041</v>
      </c>
      <c r="AG60" s="40"/>
      <c r="AH60" s="40">
        <f t="shared" si="14"/>
        <v>0</v>
      </c>
      <c r="AI60" s="40"/>
      <c r="AJ60" s="40">
        <f t="shared" si="15"/>
        <v>0</v>
      </c>
      <c r="AK60" s="40"/>
      <c r="AL60" s="40">
        <f t="shared" si="16"/>
        <v>2207</v>
      </c>
      <c r="AM60" s="97"/>
    </row>
    <row r="61" spans="1:66" x14ac:dyDescent="0.25">
      <c r="A61" s="64" t="s">
        <v>23</v>
      </c>
      <c r="B61" s="72"/>
      <c r="C61" s="73">
        <f>IF(AE20&lt;&gt;0,AE20,"")</f>
        <v>0.94780927835051543</v>
      </c>
      <c r="D61" s="73"/>
      <c r="E61" s="73">
        <f>IF(AG20&lt;&gt;0,AG20,"")</f>
        <v>0.8936507936507937</v>
      </c>
      <c r="F61" s="73"/>
      <c r="G61" s="73" t="str">
        <f>IF(AI20&lt;&gt;0,AI20,"")</f>
        <v/>
      </c>
      <c r="H61" s="73"/>
      <c r="I61" s="73" t="str">
        <f>IF(AK20&lt;&gt;0,AK20,"")</f>
        <v/>
      </c>
      <c r="J61" s="74">
        <f>IF(AM20&lt;&gt;0,AM20,"")</f>
        <v>0.93026941362916005</v>
      </c>
      <c r="K61" s="92"/>
      <c r="L61" s="75"/>
      <c r="M61" s="76"/>
      <c r="N61" s="73">
        <f>IF(AE100&lt;&gt;0,AE100,"")</f>
        <v>0.93669250645994828</v>
      </c>
      <c r="O61" s="73"/>
      <c r="P61" s="73">
        <f>IF(AG100&lt;&gt;0,AG100,"")</f>
        <v>0.8875523012552301</v>
      </c>
      <c r="Q61" s="73"/>
      <c r="R61" s="73" t="str">
        <f>IF(AI100&lt;&gt;0,AI100,"")</f>
        <v/>
      </c>
      <c r="S61" s="73"/>
      <c r="T61" s="73" t="str">
        <f>IF(AK100&lt;&gt;0,AK100,"")</f>
        <v/>
      </c>
      <c r="U61" s="74">
        <f>IF(AM100&lt;&gt;0,AM100,"")</f>
        <v>0.9080664294187426</v>
      </c>
      <c r="X61" s="46">
        <f t="shared" si="17"/>
        <v>0.58333333333333304</v>
      </c>
      <c r="Y61" s="36">
        <f t="shared" si="18"/>
        <v>300</v>
      </c>
      <c r="Z61" s="36">
        <f t="shared" si="19"/>
        <v>260</v>
      </c>
      <c r="AA61" s="36">
        <f t="shared" si="20"/>
        <v>0</v>
      </c>
      <c r="AB61" s="36">
        <f t="shared" si="21"/>
        <v>0</v>
      </c>
      <c r="AC61" s="35">
        <f t="shared" si="11"/>
        <v>560</v>
      </c>
      <c r="AD61" s="40">
        <f t="shared" si="12"/>
        <v>1136</v>
      </c>
      <c r="AE61" s="40"/>
      <c r="AF61" s="40">
        <f t="shared" si="13"/>
        <v>1088</v>
      </c>
      <c r="AG61" s="40"/>
      <c r="AH61" s="40">
        <f t="shared" si="14"/>
        <v>0</v>
      </c>
      <c r="AI61" s="40"/>
      <c r="AJ61" s="40">
        <f t="shared" si="15"/>
        <v>0</v>
      </c>
      <c r="AK61" s="40"/>
      <c r="AL61" s="40">
        <f t="shared" si="16"/>
        <v>2224</v>
      </c>
      <c r="AM61" s="97"/>
    </row>
    <row r="62" spans="1:66" x14ac:dyDescent="0.25">
      <c r="A62" s="5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"/>
      <c r="N62" s="19"/>
      <c r="O62" s="89"/>
      <c r="P62" s="19"/>
      <c r="Q62" s="89"/>
      <c r="R62" s="19"/>
      <c r="S62" s="89"/>
      <c r="T62" s="19"/>
      <c r="U62" s="19"/>
      <c r="X62" s="46">
        <f t="shared" si="17"/>
        <v>0.59375</v>
      </c>
      <c r="Y62" s="36">
        <f t="shared" si="18"/>
        <v>304</v>
      </c>
      <c r="Z62" s="36">
        <f t="shared" si="19"/>
        <v>275</v>
      </c>
      <c r="AA62" s="36">
        <f t="shared" si="20"/>
        <v>0</v>
      </c>
      <c r="AB62" s="36">
        <f t="shared" si="21"/>
        <v>0</v>
      </c>
      <c r="AC62" s="35">
        <f t="shared" si="11"/>
        <v>579</v>
      </c>
      <c r="AD62" s="40">
        <f t="shared" si="12"/>
        <v>1154</v>
      </c>
      <c r="AE62" s="40"/>
      <c r="AF62" s="40">
        <f t="shared" si="13"/>
        <v>1147</v>
      </c>
      <c r="AG62" s="40"/>
      <c r="AH62" s="40">
        <f t="shared" si="14"/>
        <v>0</v>
      </c>
      <c r="AI62" s="40"/>
      <c r="AJ62" s="40">
        <f t="shared" si="15"/>
        <v>0</v>
      </c>
      <c r="AK62" s="40"/>
      <c r="AL62" s="40">
        <f t="shared" si="16"/>
        <v>2301</v>
      </c>
      <c r="AM62" s="97"/>
    </row>
    <row r="63" spans="1:66" x14ac:dyDescent="0.25">
      <c r="A63" s="5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5"/>
      <c r="Q63" s="4"/>
      <c r="R63" s="5"/>
      <c r="S63" s="4"/>
      <c r="T63" s="5"/>
      <c r="U63" s="5"/>
      <c r="X63" s="46">
        <f t="shared" si="17"/>
        <v>0.60416666666666596</v>
      </c>
      <c r="Y63" s="36">
        <f t="shared" si="18"/>
        <v>269</v>
      </c>
      <c r="Z63" s="36">
        <f t="shared" si="19"/>
        <v>263</v>
      </c>
      <c r="AA63" s="36">
        <f t="shared" si="20"/>
        <v>0</v>
      </c>
      <c r="AB63" s="36">
        <f t="shared" si="21"/>
        <v>0</v>
      </c>
      <c r="AC63" s="35">
        <f t="shared" si="11"/>
        <v>532</v>
      </c>
      <c r="AD63" s="40">
        <f t="shared" si="12"/>
        <v>1174</v>
      </c>
      <c r="AE63" s="40"/>
      <c r="AF63" s="40">
        <f t="shared" si="13"/>
        <v>1196</v>
      </c>
      <c r="AG63" s="40"/>
      <c r="AH63" s="40">
        <f t="shared" si="14"/>
        <v>0</v>
      </c>
      <c r="AI63" s="40"/>
      <c r="AJ63" s="40">
        <f t="shared" si="15"/>
        <v>0</v>
      </c>
      <c r="AK63" s="40"/>
      <c r="AL63" s="40">
        <f t="shared" si="16"/>
        <v>2370</v>
      </c>
      <c r="AM63" s="97"/>
    </row>
    <row r="64" spans="1:66" x14ac:dyDescent="0.25">
      <c r="A64" s="5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5"/>
      <c r="Q64" s="4"/>
      <c r="R64" s="5"/>
      <c r="S64" s="4"/>
      <c r="T64" s="5"/>
      <c r="U64" s="117" t="s">
        <v>27</v>
      </c>
      <c r="X64" s="46">
        <f t="shared" si="17"/>
        <v>0.61458333333333304</v>
      </c>
      <c r="Y64" s="36">
        <f t="shared" si="18"/>
        <v>263</v>
      </c>
      <c r="Z64" s="36">
        <f t="shared" si="19"/>
        <v>290</v>
      </c>
      <c r="AA64" s="36">
        <f t="shared" si="20"/>
        <v>0</v>
      </c>
      <c r="AB64" s="36">
        <f t="shared" si="21"/>
        <v>0</v>
      </c>
      <c r="AC64" s="35">
        <f t="shared" si="11"/>
        <v>553</v>
      </c>
      <c r="AD64" s="40">
        <f t="shared" si="12"/>
        <v>1305</v>
      </c>
      <c r="AE64" s="40"/>
      <c r="AF64" s="40">
        <f t="shared" si="13"/>
        <v>1317</v>
      </c>
      <c r="AG64" s="40"/>
      <c r="AH64" s="40">
        <f t="shared" si="14"/>
        <v>0</v>
      </c>
      <c r="AI64" s="40"/>
      <c r="AJ64" s="40">
        <f t="shared" si="15"/>
        <v>0</v>
      </c>
      <c r="AK64" s="40"/>
      <c r="AL64" s="40">
        <f t="shared" si="16"/>
        <v>2622</v>
      </c>
      <c r="AM64" s="97"/>
    </row>
    <row r="65" spans="1:98" s="1" customFormat="1" x14ac:dyDescent="0.25">
      <c r="A65" s="5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5"/>
      <c r="Q65" s="4"/>
      <c r="R65" s="5"/>
      <c r="S65" s="4"/>
      <c r="T65" s="5"/>
      <c r="U65" s="5"/>
      <c r="X65" s="46">
        <f t="shared" si="17"/>
        <v>0.625</v>
      </c>
      <c r="Y65" s="36">
        <f t="shared" si="18"/>
        <v>318</v>
      </c>
      <c r="Z65" s="36">
        <f t="shared" si="19"/>
        <v>319</v>
      </c>
      <c r="AA65" s="36">
        <f t="shared" si="20"/>
        <v>0</v>
      </c>
      <c r="AB65" s="36">
        <f t="shared" si="21"/>
        <v>0</v>
      </c>
      <c r="AC65" s="35">
        <f t="shared" si="11"/>
        <v>637</v>
      </c>
      <c r="AD65" s="35">
        <f t="shared" si="12"/>
        <v>1407</v>
      </c>
      <c r="AE65" s="35"/>
      <c r="AF65" s="35">
        <f t="shared" si="13"/>
        <v>1505</v>
      </c>
      <c r="AG65" s="35"/>
      <c r="AH65" s="35">
        <f t="shared" si="14"/>
        <v>0</v>
      </c>
      <c r="AI65" s="35"/>
      <c r="AJ65" s="35">
        <f t="shared" si="15"/>
        <v>0</v>
      </c>
      <c r="AK65" s="35"/>
      <c r="AL65" s="35">
        <f t="shared" si="16"/>
        <v>2912</v>
      </c>
      <c r="AM65" s="60"/>
      <c r="AN65" s="2"/>
      <c r="AO65" s="2"/>
      <c r="AP65" s="2"/>
      <c r="AQ65" s="2"/>
      <c r="AR65" s="2"/>
      <c r="AS65" s="2"/>
      <c r="AT65" s="2"/>
      <c r="AU65" s="2"/>
      <c r="AV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 s="1" customFormat="1" x14ac:dyDescent="0.25">
      <c r="A66" s="5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5"/>
      <c r="Q66" s="4"/>
      <c r="R66" s="5"/>
      <c r="S66" s="4"/>
      <c r="T66" s="5"/>
      <c r="U66" s="5"/>
      <c r="X66" s="46">
        <f t="shared" si="17"/>
        <v>0.63541666666666596</v>
      </c>
      <c r="Y66" s="36">
        <f t="shared" si="18"/>
        <v>324</v>
      </c>
      <c r="Z66" s="36">
        <f t="shared" si="19"/>
        <v>324</v>
      </c>
      <c r="AA66" s="36">
        <f t="shared" si="20"/>
        <v>0</v>
      </c>
      <c r="AB66" s="36">
        <f t="shared" si="21"/>
        <v>0</v>
      </c>
      <c r="AC66" s="35">
        <f t="shared" si="11"/>
        <v>648</v>
      </c>
      <c r="AD66" s="35">
        <f t="shared" si="12"/>
        <v>1417</v>
      </c>
      <c r="AE66" s="35"/>
      <c r="AF66" s="35">
        <f t="shared" si="13"/>
        <v>1642</v>
      </c>
      <c r="AG66" s="35"/>
      <c r="AH66" s="35">
        <f t="shared" si="14"/>
        <v>0</v>
      </c>
      <c r="AI66" s="35"/>
      <c r="AJ66" s="35">
        <f t="shared" si="15"/>
        <v>0</v>
      </c>
      <c r="AK66" s="35"/>
      <c r="AL66" s="35">
        <f t="shared" si="16"/>
        <v>3059</v>
      </c>
      <c r="AM66" s="60"/>
      <c r="AN66" s="2"/>
      <c r="AO66" s="2"/>
      <c r="AP66" s="2"/>
      <c r="AQ66" s="2"/>
      <c r="AR66" s="2"/>
      <c r="AS66" s="2"/>
      <c r="AT66" s="2"/>
      <c r="AU66" s="2"/>
      <c r="AV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 s="1" customFormat="1" x14ac:dyDescent="0.25">
      <c r="A67" s="5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5"/>
      <c r="Q67" s="4"/>
      <c r="R67" s="5"/>
      <c r="S67" s="4"/>
      <c r="T67" s="5"/>
      <c r="U67" s="5"/>
      <c r="X67" s="46">
        <f t="shared" si="17"/>
        <v>0.64583333333333304</v>
      </c>
      <c r="Y67" s="36">
        <f t="shared" si="18"/>
        <v>400</v>
      </c>
      <c r="Z67" s="36">
        <f t="shared" si="19"/>
        <v>384</v>
      </c>
      <c r="AA67" s="36">
        <f t="shared" si="20"/>
        <v>0</v>
      </c>
      <c r="AB67" s="36">
        <f t="shared" si="21"/>
        <v>0</v>
      </c>
      <c r="AC67" s="35">
        <f t="shared" si="11"/>
        <v>784</v>
      </c>
      <c r="AD67" s="35">
        <f t="shared" si="12"/>
        <v>1365</v>
      </c>
      <c r="AE67" s="35"/>
      <c r="AF67" s="35">
        <f t="shared" si="13"/>
        <v>1697</v>
      </c>
      <c r="AG67" s="35"/>
      <c r="AH67" s="35">
        <f t="shared" si="14"/>
        <v>0</v>
      </c>
      <c r="AI67" s="35"/>
      <c r="AJ67" s="35">
        <f t="shared" si="15"/>
        <v>0</v>
      </c>
      <c r="AK67" s="35"/>
      <c r="AL67" s="35">
        <f t="shared" si="16"/>
        <v>3062</v>
      </c>
      <c r="AM67" s="60"/>
      <c r="AN67" s="2"/>
      <c r="AO67" s="2"/>
      <c r="AP67" s="2"/>
      <c r="AQ67" s="2"/>
      <c r="AR67" s="2"/>
      <c r="AS67" s="2"/>
      <c r="AT67" s="2"/>
      <c r="AU67" s="2"/>
      <c r="AV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 s="1" customFormat="1" x14ac:dyDescent="0.25">
      <c r="A68" s="5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5"/>
      <c r="Q68" s="4"/>
      <c r="R68" s="5"/>
      <c r="S68" s="4"/>
      <c r="T68" s="5"/>
      <c r="U68" s="5"/>
      <c r="X68" s="46">
        <f t="shared" si="17"/>
        <v>0.656249999999999</v>
      </c>
      <c r="Y68" s="36">
        <f t="shared" si="18"/>
        <v>365</v>
      </c>
      <c r="Z68" s="36">
        <f t="shared" si="19"/>
        <v>478</v>
      </c>
      <c r="AA68" s="36">
        <f t="shared" si="20"/>
        <v>0</v>
      </c>
      <c r="AB68" s="36">
        <f t="shared" si="21"/>
        <v>0</v>
      </c>
      <c r="AC68" s="35">
        <f t="shared" si="11"/>
        <v>843</v>
      </c>
      <c r="AD68" s="35">
        <f t="shared" si="12"/>
        <v>1306</v>
      </c>
      <c r="AE68" s="35"/>
      <c r="AF68" s="35">
        <f t="shared" si="13"/>
        <v>1681</v>
      </c>
      <c r="AG68" s="35"/>
      <c r="AH68" s="35">
        <f t="shared" si="14"/>
        <v>0</v>
      </c>
      <c r="AI68" s="35"/>
      <c r="AJ68" s="35">
        <f t="shared" si="15"/>
        <v>0</v>
      </c>
      <c r="AK68" s="35"/>
      <c r="AL68" s="35">
        <f t="shared" si="16"/>
        <v>2987</v>
      </c>
      <c r="AM68" s="60"/>
      <c r="AN68" s="2"/>
      <c r="AO68" s="2"/>
      <c r="AP68" s="2"/>
      <c r="AQ68" s="2"/>
      <c r="AR68" s="2"/>
      <c r="AS68" s="2"/>
      <c r="AT68" s="2"/>
      <c r="AU68" s="2"/>
      <c r="AV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 s="1" customFormat="1" x14ac:dyDescent="0.25">
      <c r="A69" s="5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5"/>
      <c r="Q69" s="4"/>
      <c r="R69" s="5"/>
      <c r="S69" s="4"/>
      <c r="T69" s="5"/>
      <c r="U69" s="5"/>
      <c r="X69" s="46">
        <f t="shared" si="17"/>
        <v>0.66666666666666596</v>
      </c>
      <c r="Y69" s="36">
        <f t="shared" si="18"/>
        <v>328</v>
      </c>
      <c r="Z69" s="36">
        <f t="shared" si="19"/>
        <v>456</v>
      </c>
      <c r="AA69" s="36">
        <f t="shared" si="20"/>
        <v>0</v>
      </c>
      <c r="AB69" s="36">
        <f t="shared" si="21"/>
        <v>0</v>
      </c>
      <c r="AC69" s="35">
        <f t="shared" ref="AC69:AC100" si="22">SUM(Y69:AB69)</f>
        <v>784</v>
      </c>
      <c r="AD69" s="35">
        <f t="shared" ref="AD69:AD100" si="23">SUM(Y69:Y72)</f>
        <v>1297</v>
      </c>
      <c r="AE69" s="35"/>
      <c r="AF69" s="35">
        <f t="shared" ref="AF69:AF100" si="24">SUM(Z69:Z72)</f>
        <v>1558</v>
      </c>
      <c r="AG69" s="35"/>
      <c r="AH69" s="35">
        <f t="shared" ref="AH69:AH100" si="25">SUM(AA69:AA72)</f>
        <v>0</v>
      </c>
      <c r="AI69" s="35"/>
      <c r="AJ69" s="35">
        <f t="shared" ref="AJ69:AJ100" si="26">SUM(AB69:AB72)</f>
        <v>0</v>
      </c>
      <c r="AK69" s="35"/>
      <c r="AL69" s="35">
        <f t="shared" ref="AL69:AL100" si="27">SUM(AD69+AF69+AH69+AJ69)</f>
        <v>2855</v>
      </c>
      <c r="AM69" s="60"/>
      <c r="AN69" s="2"/>
      <c r="AO69" s="2"/>
      <c r="AP69" s="2"/>
      <c r="AQ69" s="2"/>
      <c r="AR69" s="2"/>
      <c r="AS69" s="2"/>
      <c r="AT69" s="2"/>
      <c r="AU69" s="2"/>
      <c r="AV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 s="1" customFormat="1" x14ac:dyDescent="0.25">
      <c r="A70" s="5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5"/>
      <c r="Q70" s="4"/>
      <c r="R70" s="5"/>
      <c r="S70" s="4"/>
      <c r="T70" s="5"/>
      <c r="U70" s="5"/>
      <c r="X70" s="46">
        <f t="shared" si="17"/>
        <v>0.67708333333333304</v>
      </c>
      <c r="Y70" s="36">
        <f t="shared" si="18"/>
        <v>272</v>
      </c>
      <c r="Z70" s="36">
        <f t="shared" si="19"/>
        <v>379</v>
      </c>
      <c r="AA70" s="36">
        <f t="shared" si="20"/>
        <v>0</v>
      </c>
      <c r="AB70" s="36">
        <f t="shared" si="21"/>
        <v>0</v>
      </c>
      <c r="AC70" s="35">
        <f t="shared" si="22"/>
        <v>651</v>
      </c>
      <c r="AD70" s="35">
        <f t="shared" si="23"/>
        <v>1317</v>
      </c>
      <c r="AE70" s="35"/>
      <c r="AF70" s="35">
        <f t="shared" si="24"/>
        <v>1499</v>
      </c>
      <c r="AG70" s="35"/>
      <c r="AH70" s="35">
        <f t="shared" si="25"/>
        <v>0</v>
      </c>
      <c r="AI70" s="35"/>
      <c r="AJ70" s="35">
        <f t="shared" si="26"/>
        <v>0</v>
      </c>
      <c r="AK70" s="35"/>
      <c r="AL70" s="35">
        <f t="shared" si="27"/>
        <v>2816</v>
      </c>
      <c r="AM70" s="60"/>
      <c r="AN70" s="2"/>
      <c r="AO70" s="2"/>
      <c r="AP70" s="2"/>
      <c r="AQ70" s="2"/>
      <c r="AR70" s="2"/>
      <c r="AS70" s="2"/>
      <c r="AT70" s="2"/>
      <c r="AU70" s="2"/>
      <c r="AV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 s="1" customFormat="1" x14ac:dyDescent="0.25">
      <c r="A71" s="5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5"/>
      <c r="Q71" s="4"/>
      <c r="R71" s="5"/>
      <c r="S71" s="4"/>
      <c r="T71" s="5"/>
      <c r="U71" s="5"/>
      <c r="X71" s="46">
        <f t="shared" si="17"/>
        <v>0.687499999999999</v>
      </c>
      <c r="Y71" s="36">
        <f t="shared" si="18"/>
        <v>341</v>
      </c>
      <c r="Z71" s="36">
        <f t="shared" si="19"/>
        <v>368</v>
      </c>
      <c r="AA71" s="36">
        <f t="shared" si="20"/>
        <v>0</v>
      </c>
      <c r="AB71" s="36">
        <f t="shared" si="21"/>
        <v>0</v>
      </c>
      <c r="AC71" s="35">
        <f t="shared" si="22"/>
        <v>709</v>
      </c>
      <c r="AD71" s="35">
        <f t="shared" si="23"/>
        <v>1432</v>
      </c>
      <c r="AE71" s="35"/>
      <c r="AF71" s="35">
        <f t="shared" si="24"/>
        <v>1519</v>
      </c>
      <c r="AG71" s="35"/>
      <c r="AH71" s="35">
        <f t="shared" si="25"/>
        <v>0</v>
      </c>
      <c r="AI71" s="35"/>
      <c r="AJ71" s="35">
        <f t="shared" si="26"/>
        <v>0</v>
      </c>
      <c r="AK71" s="35"/>
      <c r="AL71" s="35">
        <f t="shared" si="27"/>
        <v>2951</v>
      </c>
      <c r="AM71" s="60"/>
      <c r="AN71" s="2"/>
      <c r="AO71" s="2"/>
      <c r="AP71" s="2"/>
      <c r="AQ71" s="2"/>
      <c r="AR71" s="2"/>
      <c r="AS71" s="2"/>
      <c r="AT71" s="2"/>
      <c r="AU71" s="2"/>
      <c r="AV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 s="1" customFormat="1" x14ac:dyDescent="0.25">
      <c r="A72" s="5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5"/>
      <c r="Q72" s="4"/>
      <c r="R72" s="5"/>
      <c r="S72" s="4"/>
      <c r="T72" s="5"/>
      <c r="U72" s="5"/>
      <c r="X72" s="46">
        <f t="shared" si="17"/>
        <v>0.69791666666666596</v>
      </c>
      <c r="Y72" s="36">
        <f t="shared" si="18"/>
        <v>356</v>
      </c>
      <c r="Z72" s="36">
        <f t="shared" si="19"/>
        <v>355</v>
      </c>
      <c r="AA72" s="36">
        <f t="shared" si="20"/>
        <v>0</v>
      </c>
      <c r="AB72" s="36">
        <f t="shared" si="21"/>
        <v>0</v>
      </c>
      <c r="AC72" s="35">
        <f t="shared" si="22"/>
        <v>711</v>
      </c>
      <c r="AD72" s="35">
        <f t="shared" si="23"/>
        <v>1450</v>
      </c>
      <c r="AE72" s="35"/>
      <c r="AF72" s="35">
        <f t="shared" si="24"/>
        <v>1563</v>
      </c>
      <c r="AG72" s="35"/>
      <c r="AH72" s="35">
        <f t="shared" si="25"/>
        <v>0</v>
      </c>
      <c r="AI72" s="35"/>
      <c r="AJ72" s="35">
        <f t="shared" si="26"/>
        <v>0</v>
      </c>
      <c r="AK72" s="35"/>
      <c r="AL72" s="35">
        <f t="shared" si="27"/>
        <v>3013</v>
      </c>
      <c r="AM72" s="60"/>
      <c r="AN72" s="2"/>
      <c r="AO72" s="2"/>
      <c r="AP72" s="2"/>
      <c r="AQ72" s="2"/>
      <c r="AR72" s="2"/>
      <c r="AS72" s="2"/>
      <c r="AT72" s="2"/>
      <c r="AU72" s="2"/>
      <c r="AV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 s="1" customFormat="1" x14ac:dyDescent="0.25">
      <c r="A73" s="5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5"/>
      <c r="Q73" s="4"/>
      <c r="R73" s="5"/>
      <c r="S73" s="4"/>
      <c r="T73" s="5"/>
      <c r="U73" s="5"/>
      <c r="X73" s="46">
        <f t="shared" si="17"/>
        <v>0.70833333333333304</v>
      </c>
      <c r="Y73" s="36">
        <f t="shared" si="18"/>
        <v>348</v>
      </c>
      <c r="Z73" s="36">
        <f t="shared" si="19"/>
        <v>397</v>
      </c>
      <c r="AA73" s="36">
        <f t="shared" si="20"/>
        <v>0</v>
      </c>
      <c r="AB73" s="36">
        <f t="shared" si="21"/>
        <v>0</v>
      </c>
      <c r="AC73" s="35">
        <f t="shared" si="22"/>
        <v>745</v>
      </c>
      <c r="AD73" s="35">
        <f t="shared" si="23"/>
        <v>1407</v>
      </c>
      <c r="AE73" s="35"/>
      <c r="AF73" s="35">
        <f t="shared" si="24"/>
        <v>1596</v>
      </c>
      <c r="AG73" s="35"/>
      <c r="AH73" s="35">
        <f t="shared" si="25"/>
        <v>0</v>
      </c>
      <c r="AI73" s="35"/>
      <c r="AJ73" s="35">
        <f t="shared" si="26"/>
        <v>0</v>
      </c>
      <c r="AK73" s="35"/>
      <c r="AL73" s="35">
        <f t="shared" si="27"/>
        <v>3003</v>
      </c>
      <c r="AM73" s="60"/>
      <c r="AN73" s="2"/>
      <c r="AO73" s="2"/>
      <c r="AP73" s="2"/>
      <c r="AQ73" s="2"/>
      <c r="AR73" s="2"/>
      <c r="AS73" s="2"/>
      <c r="AT73" s="2"/>
      <c r="AU73" s="2"/>
      <c r="AV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 s="1" customFormat="1" x14ac:dyDescent="0.25">
      <c r="A74" s="5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5"/>
      <c r="Q74" s="4"/>
      <c r="R74" s="5"/>
      <c r="S74" s="4"/>
      <c r="T74" s="5"/>
      <c r="U74" s="5"/>
      <c r="X74" s="46">
        <f t="shared" si="17"/>
        <v>0.718749999999999</v>
      </c>
      <c r="Y74" s="36">
        <f t="shared" si="18"/>
        <v>387</v>
      </c>
      <c r="Z74" s="36">
        <f t="shared" si="19"/>
        <v>399</v>
      </c>
      <c r="AA74" s="36">
        <f t="shared" si="20"/>
        <v>0</v>
      </c>
      <c r="AB74" s="36">
        <f t="shared" si="21"/>
        <v>0</v>
      </c>
      <c r="AC74" s="35">
        <f t="shared" si="22"/>
        <v>786</v>
      </c>
      <c r="AD74" s="35">
        <f t="shared" si="23"/>
        <v>1366</v>
      </c>
      <c r="AE74" s="35"/>
      <c r="AF74" s="35">
        <f t="shared" si="24"/>
        <v>1548</v>
      </c>
      <c r="AG74" s="35"/>
      <c r="AH74" s="35">
        <f t="shared" si="25"/>
        <v>0</v>
      </c>
      <c r="AI74" s="35"/>
      <c r="AJ74" s="35">
        <f t="shared" si="26"/>
        <v>0</v>
      </c>
      <c r="AK74" s="35"/>
      <c r="AL74" s="35">
        <f t="shared" si="27"/>
        <v>2914</v>
      </c>
      <c r="AM74" s="60"/>
      <c r="AN74" s="2"/>
      <c r="AO74" s="2"/>
      <c r="AP74" s="2"/>
      <c r="AQ74" s="2"/>
      <c r="AR74" s="2"/>
      <c r="AS74" s="2"/>
      <c r="AT74" s="2"/>
      <c r="AU74" s="2"/>
      <c r="AV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 s="1" customFormat="1" x14ac:dyDescent="0.25">
      <c r="A75" s="5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5"/>
      <c r="Q75" s="4"/>
      <c r="R75" s="5"/>
      <c r="S75" s="4"/>
      <c r="T75" s="5"/>
      <c r="U75" s="5"/>
      <c r="X75" s="46">
        <f t="shared" si="17"/>
        <v>0.72916666666666596</v>
      </c>
      <c r="Y75" s="36">
        <f t="shared" si="18"/>
        <v>359</v>
      </c>
      <c r="Z75" s="36">
        <f t="shared" si="19"/>
        <v>412</v>
      </c>
      <c r="AA75" s="36">
        <f t="shared" si="20"/>
        <v>0</v>
      </c>
      <c r="AB75" s="36">
        <f t="shared" si="21"/>
        <v>0</v>
      </c>
      <c r="AC75" s="35">
        <f t="shared" si="22"/>
        <v>771</v>
      </c>
      <c r="AD75" s="35">
        <f t="shared" si="23"/>
        <v>1246</v>
      </c>
      <c r="AE75" s="35"/>
      <c r="AF75" s="35">
        <f t="shared" si="24"/>
        <v>1484</v>
      </c>
      <c r="AG75" s="35"/>
      <c r="AH75" s="35">
        <f t="shared" si="25"/>
        <v>0</v>
      </c>
      <c r="AI75" s="35"/>
      <c r="AJ75" s="35">
        <f t="shared" si="26"/>
        <v>0</v>
      </c>
      <c r="AK75" s="35"/>
      <c r="AL75" s="35">
        <f t="shared" si="27"/>
        <v>2730</v>
      </c>
      <c r="AM75" s="60"/>
      <c r="AN75" s="2"/>
      <c r="AO75" s="2"/>
      <c r="AP75" s="2"/>
      <c r="AQ75" s="2"/>
      <c r="AR75" s="2"/>
      <c r="AS75" s="2"/>
      <c r="AT75" s="2"/>
      <c r="AU75" s="2"/>
      <c r="AV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 s="1" customFormat="1" x14ac:dyDescent="0.25">
      <c r="A76" s="5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5"/>
      <c r="Q76" s="4"/>
      <c r="R76" s="5"/>
      <c r="S76" s="4"/>
      <c r="T76" s="5"/>
      <c r="U76" s="5"/>
      <c r="X76" s="46">
        <f t="shared" si="17"/>
        <v>0.73958333333333204</v>
      </c>
      <c r="Y76" s="36">
        <f t="shared" si="18"/>
        <v>313</v>
      </c>
      <c r="Z76" s="36">
        <f t="shared" si="19"/>
        <v>388</v>
      </c>
      <c r="AA76" s="36">
        <f t="shared" si="20"/>
        <v>0</v>
      </c>
      <c r="AB76" s="36">
        <f t="shared" si="21"/>
        <v>0</v>
      </c>
      <c r="AC76" s="35">
        <f t="shared" si="22"/>
        <v>701</v>
      </c>
      <c r="AD76" s="35">
        <f t="shared" si="23"/>
        <v>1148</v>
      </c>
      <c r="AE76" s="35"/>
      <c r="AF76" s="35">
        <f t="shared" si="24"/>
        <v>1381</v>
      </c>
      <c r="AG76" s="35"/>
      <c r="AH76" s="35">
        <f t="shared" si="25"/>
        <v>0</v>
      </c>
      <c r="AI76" s="35"/>
      <c r="AJ76" s="35">
        <f t="shared" si="26"/>
        <v>0</v>
      </c>
      <c r="AK76" s="35"/>
      <c r="AL76" s="35">
        <f t="shared" si="27"/>
        <v>2529</v>
      </c>
      <c r="AM76" s="60"/>
      <c r="AN76" s="2"/>
      <c r="AO76" s="2"/>
      <c r="AP76" s="2"/>
      <c r="AQ76" s="2"/>
      <c r="AR76" s="2"/>
      <c r="AS76" s="2"/>
      <c r="AT76" s="2"/>
      <c r="AU76" s="2"/>
      <c r="AV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 s="1" customFormat="1" x14ac:dyDescent="0.25">
      <c r="A77" s="5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5"/>
      <c r="Q77" s="4"/>
      <c r="R77" s="5"/>
      <c r="S77" s="4"/>
      <c r="T77" s="5"/>
      <c r="U77" s="5"/>
      <c r="X77" s="46">
        <f t="shared" si="17"/>
        <v>0.749999999999999</v>
      </c>
      <c r="Y77" s="36">
        <f t="shared" si="18"/>
        <v>307</v>
      </c>
      <c r="Z77" s="36">
        <f t="shared" si="19"/>
        <v>349</v>
      </c>
      <c r="AA77" s="36">
        <f t="shared" si="20"/>
        <v>0</v>
      </c>
      <c r="AB77" s="36">
        <f t="shared" si="21"/>
        <v>0</v>
      </c>
      <c r="AC77" s="35">
        <f t="shared" si="22"/>
        <v>656</v>
      </c>
      <c r="AD77" s="35">
        <f t="shared" si="23"/>
        <v>1102</v>
      </c>
      <c r="AE77" s="35"/>
      <c r="AF77" s="35">
        <f t="shared" si="24"/>
        <v>1244</v>
      </c>
      <c r="AG77" s="35"/>
      <c r="AH77" s="35">
        <f t="shared" si="25"/>
        <v>0</v>
      </c>
      <c r="AI77" s="35"/>
      <c r="AJ77" s="35">
        <f t="shared" si="26"/>
        <v>0</v>
      </c>
      <c r="AK77" s="35"/>
      <c r="AL77" s="35">
        <f t="shared" si="27"/>
        <v>2346</v>
      </c>
      <c r="AM77" s="60"/>
      <c r="AN77" s="2"/>
      <c r="AO77" s="2"/>
      <c r="AP77" s="2"/>
      <c r="AQ77" s="2"/>
      <c r="AR77" s="2"/>
      <c r="AS77" s="2"/>
      <c r="AT77" s="2"/>
      <c r="AU77" s="2"/>
      <c r="AV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8" spans="1:98" s="1" customFormat="1" x14ac:dyDescent="0.25">
      <c r="A78" s="5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5"/>
      <c r="Q78" s="4"/>
      <c r="R78" s="5"/>
      <c r="S78" s="4"/>
      <c r="T78" s="5"/>
      <c r="U78" s="5"/>
      <c r="X78" s="46">
        <f t="shared" si="17"/>
        <v>0.76041666666666596</v>
      </c>
      <c r="Y78" s="36">
        <f t="shared" si="18"/>
        <v>267</v>
      </c>
      <c r="Z78" s="36">
        <f t="shared" si="19"/>
        <v>335</v>
      </c>
      <c r="AA78" s="36">
        <f t="shared" si="20"/>
        <v>0</v>
      </c>
      <c r="AB78" s="36">
        <f t="shared" si="21"/>
        <v>0</v>
      </c>
      <c r="AC78" s="35">
        <f t="shared" si="22"/>
        <v>602</v>
      </c>
      <c r="AD78" s="35">
        <f t="shared" si="23"/>
        <v>1025</v>
      </c>
      <c r="AE78" s="35"/>
      <c r="AF78" s="35">
        <f t="shared" si="24"/>
        <v>1141</v>
      </c>
      <c r="AG78" s="35"/>
      <c r="AH78" s="35">
        <f t="shared" si="25"/>
        <v>0</v>
      </c>
      <c r="AI78" s="35"/>
      <c r="AJ78" s="35">
        <f t="shared" si="26"/>
        <v>0</v>
      </c>
      <c r="AK78" s="35"/>
      <c r="AL78" s="35">
        <f t="shared" si="27"/>
        <v>2166</v>
      </c>
      <c r="AM78" s="60"/>
      <c r="AN78" s="2"/>
      <c r="AO78" s="2"/>
      <c r="AP78" s="2"/>
      <c r="AQ78" s="2"/>
      <c r="AR78" s="2"/>
      <c r="AS78" s="2"/>
      <c r="AT78" s="2"/>
      <c r="AU78" s="2"/>
      <c r="AV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</row>
    <row r="79" spans="1:98" s="1" customFormat="1" x14ac:dyDescent="0.25">
      <c r="A79" s="5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5"/>
      <c r="Q79" s="4"/>
      <c r="R79" s="5"/>
      <c r="S79" s="4"/>
      <c r="T79" s="5"/>
      <c r="U79" s="5"/>
      <c r="X79" s="46">
        <f t="shared" si="17"/>
        <v>0.77083333333333204</v>
      </c>
      <c r="Y79" s="36">
        <f t="shared" si="18"/>
        <v>261</v>
      </c>
      <c r="Z79" s="36">
        <f t="shared" si="19"/>
        <v>309</v>
      </c>
      <c r="AA79" s="36">
        <f t="shared" si="20"/>
        <v>0</v>
      </c>
      <c r="AB79" s="36">
        <f t="shared" si="21"/>
        <v>0</v>
      </c>
      <c r="AC79" s="35">
        <f t="shared" si="22"/>
        <v>570</v>
      </c>
      <c r="AD79" s="35">
        <f t="shared" si="23"/>
        <v>968</v>
      </c>
      <c r="AE79" s="35"/>
      <c r="AF79" s="35">
        <f t="shared" si="24"/>
        <v>1060</v>
      </c>
      <c r="AG79" s="35"/>
      <c r="AH79" s="35">
        <f t="shared" si="25"/>
        <v>0</v>
      </c>
      <c r="AI79" s="35"/>
      <c r="AJ79" s="35">
        <f t="shared" si="26"/>
        <v>0</v>
      </c>
      <c r="AK79" s="35"/>
      <c r="AL79" s="35">
        <f t="shared" si="27"/>
        <v>2028</v>
      </c>
      <c r="AM79" s="60"/>
      <c r="AN79" s="2"/>
      <c r="AO79" s="2"/>
      <c r="AP79" s="2"/>
      <c r="AQ79" s="2"/>
      <c r="AR79" s="2"/>
      <c r="AS79" s="2"/>
      <c r="AT79" s="2"/>
      <c r="AU79" s="2"/>
      <c r="AV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</row>
    <row r="80" spans="1:98" s="1" customFormat="1" x14ac:dyDescent="0.25">
      <c r="A80" s="5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5"/>
      <c r="Q80" s="4"/>
      <c r="R80" s="5"/>
      <c r="S80" s="4"/>
      <c r="T80" s="5"/>
      <c r="U80" s="5"/>
      <c r="X80" s="46">
        <f t="shared" si="17"/>
        <v>0.781249999999999</v>
      </c>
      <c r="Y80" s="36">
        <f t="shared" si="18"/>
        <v>267</v>
      </c>
      <c r="Z80" s="36">
        <f t="shared" si="19"/>
        <v>251</v>
      </c>
      <c r="AA80" s="36">
        <f t="shared" si="20"/>
        <v>0</v>
      </c>
      <c r="AB80" s="36">
        <f t="shared" si="21"/>
        <v>0</v>
      </c>
      <c r="AC80" s="35">
        <f t="shared" si="22"/>
        <v>518</v>
      </c>
      <c r="AD80" s="35">
        <f t="shared" si="23"/>
        <v>928</v>
      </c>
      <c r="AE80" s="35"/>
      <c r="AF80" s="35">
        <f t="shared" si="24"/>
        <v>967</v>
      </c>
      <c r="AG80" s="35"/>
      <c r="AH80" s="35">
        <f t="shared" si="25"/>
        <v>0</v>
      </c>
      <c r="AI80" s="35"/>
      <c r="AJ80" s="35">
        <f t="shared" si="26"/>
        <v>0</v>
      </c>
      <c r="AK80" s="35"/>
      <c r="AL80" s="35">
        <f t="shared" si="27"/>
        <v>1895</v>
      </c>
      <c r="AM80" s="60"/>
      <c r="AN80" s="2"/>
      <c r="AO80" s="2"/>
      <c r="AP80" s="2"/>
      <c r="AQ80" s="2"/>
      <c r="AR80" s="2"/>
      <c r="AS80" s="2"/>
      <c r="AT80" s="2"/>
      <c r="AU80" s="2"/>
      <c r="AV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 s="1" customFormat="1" x14ac:dyDescent="0.25">
      <c r="A81" s="5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5"/>
      <c r="Q81" s="4"/>
      <c r="R81" s="5"/>
      <c r="S81" s="4"/>
      <c r="T81" s="5"/>
      <c r="U81" s="5"/>
      <c r="X81" s="46">
        <f t="shared" si="17"/>
        <v>0.79166666666666596</v>
      </c>
      <c r="Y81" s="36">
        <f t="shared" si="18"/>
        <v>230</v>
      </c>
      <c r="Z81" s="36">
        <f t="shared" si="19"/>
        <v>246</v>
      </c>
      <c r="AA81" s="36">
        <f t="shared" si="20"/>
        <v>0</v>
      </c>
      <c r="AB81" s="36">
        <f t="shared" si="21"/>
        <v>0</v>
      </c>
      <c r="AC81" s="35">
        <f t="shared" si="22"/>
        <v>476</v>
      </c>
      <c r="AD81" s="35">
        <f t="shared" si="23"/>
        <v>877</v>
      </c>
      <c r="AE81" s="35"/>
      <c r="AF81" s="35">
        <f t="shared" si="24"/>
        <v>1000</v>
      </c>
      <c r="AG81" s="35"/>
      <c r="AH81" s="35">
        <f t="shared" si="25"/>
        <v>0</v>
      </c>
      <c r="AI81" s="35"/>
      <c r="AJ81" s="35">
        <f t="shared" si="26"/>
        <v>0</v>
      </c>
      <c r="AK81" s="35"/>
      <c r="AL81" s="35">
        <f t="shared" si="27"/>
        <v>1877</v>
      </c>
      <c r="AM81" s="60"/>
      <c r="AN81" s="2"/>
      <c r="AO81" s="2"/>
      <c r="AP81" s="2"/>
      <c r="AQ81" s="2"/>
      <c r="AR81" s="2"/>
      <c r="AS81" s="2"/>
      <c r="AT81" s="2"/>
      <c r="AU81" s="2"/>
      <c r="AV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 s="1" customFormat="1" x14ac:dyDescent="0.25">
      <c r="A82" s="5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5"/>
      <c r="Q82" s="4"/>
      <c r="R82" s="5"/>
      <c r="S82" s="4"/>
      <c r="T82" s="5"/>
      <c r="U82" s="5"/>
      <c r="X82" s="46">
        <f t="shared" si="17"/>
        <v>0.80208333333333204</v>
      </c>
      <c r="Y82" s="36">
        <f t="shared" si="18"/>
        <v>210</v>
      </c>
      <c r="Z82" s="36">
        <f t="shared" si="19"/>
        <v>254</v>
      </c>
      <c r="AA82" s="36">
        <f t="shared" si="20"/>
        <v>0</v>
      </c>
      <c r="AB82" s="36">
        <f t="shared" si="21"/>
        <v>0</v>
      </c>
      <c r="AC82" s="35">
        <f t="shared" si="22"/>
        <v>464</v>
      </c>
      <c r="AD82" s="35">
        <f t="shared" si="23"/>
        <v>864</v>
      </c>
      <c r="AE82" s="35"/>
      <c r="AF82" s="35">
        <f t="shared" si="24"/>
        <v>1036</v>
      </c>
      <c r="AG82" s="35"/>
      <c r="AH82" s="35">
        <f t="shared" si="25"/>
        <v>0</v>
      </c>
      <c r="AI82" s="35"/>
      <c r="AJ82" s="35">
        <f t="shared" si="26"/>
        <v>0</v>
      </c>
      <c r="AK82" s="35"/>
      <c r="AL82" s="35">
        <f t="shared" si="27"/>
        <v>1900</v>
      </c>
      <c r="AM82" s="60"/>
      <c r="AN82" s="2"/>
      <c r="AO82" s="2"/>
      <c r="AP82" s="2"/>
      <c r="AQ82" s="2"/>
      <c r="AR82" s="2"/>
      <c r="AS82" s="2"/>
      <c r="AT82" s="2"/>
      <c r="AU82" s="2"/>
      <c r="AV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 s="1" customFormat="1" x14ac:dyDescent="0.25">
      <c r="A83" s="5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5"/>
      <c r="Q83" s="4"/>
      <c r="R83" s="5"/>
      <c r="S83" s="4"/>
      <c r="T83" s="5"/>
      <c r="U83" s="5"/>
      <c r="X83" s="46">
        <f t="shared" si="17"/>
        <v>0.812499999999999</v>
      </c>
      <c r="Y83" s="36">
        <f t="shared" si="18"/>
        <v>221</v>
      </c>
      <c r="Z83" s="36">
        <f t="shared" si="19"/>
        <v>216</v>
      </c>
      <c r="AA83" s="36">
        <f t="shared" si="20"/>
        <v>0</v>
      </c>
      <c r="AB83" s="36">
        <f t="shared" si="21"/>
        <v>0</v>
      </c>
      <c r="AC83" s="35">
        <f t="shared" si="22"/>
        <v>437</v>
      </c>
      <c r="AD83" s="35">
        <f t="shared" si="23"/>
        <v>867</v>
      </c>
      <c r="AE83" s="35"/>
      <c r="AF83" s="35">
        <f t="shared" si="24"/>
        <v>985</v>
      </c>
      <c r="AG83" s="35"/>
      <c r="AH83" s="35">
        <f t="shared" si="25"/>
        <v>0</v>
      </c>
      <c r="AI83" s="35"/>
      <c r="AJ83" s="35">
        <f t="shared" si="26"/>
        <v>0</v>
      </c>
      <c r="AK83" s="35"/>
      <c r="AL83" s="35">
        <f t="shared" si="27"/>
        <v>1852</v>
      </c>
      <c r="AM83" s="60"/>
      <c r="AN83" s="2"/>
      <c r="AO83" s="2"/>
      <c r="AP83" s="2"/>
      <c r="AQ83" s="2"/>
      <c r="AR83" s="2"/>
      <c r="AS83" s="2"/>
      <c r="AT83" s="2"/>
      <c r="AU83" s="2"/>
      <c r="AV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 s="1" customFormat="1" x14ac:dyDescent="0.25">
      <c r="A84" s="5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5"/>
      <c r="Q84" s="4"/>
      <c r="R84" s="5"/>
      <c r="S84" s="4"/>
      <c r="T84" s="5"/>
      <c r="U84" s="5"/>
      <c r="X84" s="46">
        <f t="shared" si="17"/>
        <v>0.82291666666666596</v>
      </c>
      <c r="Y84" s="36">
        <f t="shared" si="18"/>
        <v>216</v>
      </c>
      <c r="Z84" s="36">
        <f t="shared" si="19"/>
        <v>284</v>
      </c>
      <c r="AA84" s="36">
        <f t="shared" si="20"/>
        <v>0</v>
      </c>
      <c r="AB84" s="36">
        <f t="shared" si="21"/>
        <v>0</v>
      </c>
      <c r="AC84" s="35">
        <f t="shared" si="22"/>
        <v>500</v>
      </c>
      <c r="AD84" s="35">
        <f t="shared" si="23"/>
        <v>816</v>
      </c>
      <c r="AE84" s="35"/>
      <c r="AF84" s="35">
        <f t="shared" si="24"/>
        <v>995</v>
      </c>
      <c r="AG84" s="35"/>
      <c r="AH84" s="35">
        <f t="shared" si="25"/>
        <v>0</v>
      </c>
      <c r="AI84" s="35"/>
      <c r="AJ84" s="35">
        <f t="shared" si="26"/>
        <v>0</v>
      </c>
      <c r="AK84" s="35"/>
      <c r="AL84" s="35">
        <f t="shared" si="27"/>
        <v>1811</v>
      </c>
      <c r="AM84" s="60"/>
      <c r="AN84" s="2"/>
      <c r="AO84" s="2"/>
      <c r="AP84" s="2"/>
      <c r="AQ84" s="2"/>
      <c r="AR84" s="2"/>
      <c r="AS84" s="2"/>
      <c r="AT84" s="2"/>
      <c r="AU84" s="2"/>
      <c r="AV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 s="1" customFormat="1" x14ac:dyDescent="0.25">
      <c r="A85" s="5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5"/>
      <c r="Q85" s="4"/>
      <c r="R85" s="5"/>
      <c r="S85" s="4"/>
      <c r="T85" s="5"/>
      <c r="U85" s="5"/>
      <c r="X85" s="46">
        <f t="shared" si="17"/>
        <v>0.83333333333333204</v>
      </c>
      <c r="Y85" s="36">
        <f t="shared" si="18"/>
        <v>217</v>
      </c>
      <c r="Z85" s="36">
        <f t="shared" si="19"/>
        <v>282</v>
      </c>
      <c r="AA85" s="36">
        <f t="shared" si="20"/>
        <v>0</v>
      </c>
      <c r="AB85" s="36">
        <f t="shared" si="21"/>
        <v>0</v>
      </c>
      <c r="AC85" s="35">
        <f t="shared" si="22"/>
        <v>499</v>
      </c>
      <c r="AD85" s="35">
        <f t="shared" si="23"/>
        <v>765</v>
      </c>
      <c r="AE85" s="1" t="s">
        <v>16</v>
      </c>
      <c r="AF85" s="35">
        <f t="shared" si="24"/>
        <v>886</v>
      </c>
      <c r="AG85" s="1" t="s">
        <v>16</v>
      </c>
      <c r="AH85" s="35">
        <f t="shared" si="25"/>
        <v>0</v>
      </c>
      <c r="AI85" s="1" t="s">
        <v>16</v>
      </c>
      <c r="AJ85" s="35">
        <f t="shared" si="26"/>
        <v>0</v>
      </c>
      <c r="AK85" s="1" t="s">
        <v>16</v>
      </c>
      <c r="AL85" s="35">
        <f t="shared" si="27"/>
        <v>1651</v>
      </c>
      <c r="AM85" s="1" t="s">
        <v>16</v>
      </c>
      <c r="AN85" s="2"/>
      <c r="AO85" s="2"/>
      <c r="AP85" s="2"/>
      <c r="AQ85" s="2"/>
      <c r="AR85" s="2"/>
      <c r="AS85" s="2"/>
      <c r="AT85" s="2"/>
      <c r="AU85" s="2"/>
      <c r="AV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 s="1" customFormat="1" x14ac:dyDescent="0.25">
      <c r="A86" s="5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5"/>
      <c r="Q86" s="4"/>
      <c r="R86" s="5"/>
      <c r="S86" s="4"/>
      <c r="T86" s="5"/>
      <c r="U86" s="5"/>
      <c r="X86" s="46">
        <f t="shared" si="17"/>
        <v>0.843749999999999</v>
      </c>
      <c r="Y86" s="36">
        <f t="shared" si="18"/>
        <v>213</v>
      </c>
      <c r="Z86" s="36">
        <f t="shared" si="19"/>
        <v>203</v>
      </c>
      <c r="AA86" s="36">
        <f t="shared" si="20"/>
        <v>0</v>
      </c>
      <c r="AB86" s="36">
        <f t="shared" si="21"/>
        <v>0</v>
      </c>
      <c r="AC86" s="35">
        <f t="shared" si="22"/>
        <v>416</v>
      </c>
      <c r="AD86" s="35">
        <f t="shared" si="23"/>
        <v>761</v>
      </c>
      <c r="AE86" s="35">
        <f>MAX(AD53:AD100)</f>
        <v>1450</v>
      </c>
      <c r="AF86" s="35">
        <f t="shared" si="24"/>
        <v>796</v>
      </c>
      <c r="AG86" s="35">
        <f>MAX(AF53:AF100)</f>
        <v>1697</v>
      </c>
      <c r="AH86" s="35">
        <f t="shared" si="25"/>
        <v>0</v>
      </c>
      <c r="AI86" s="35">
        <f>MAX(AH53:AH100)</f>
        <v>0</v>
      </c>
      <c r="AJ86" s="35">
        <f t="shared" si="26"/>
        <v>0</v>
      </c>
      <c r="AK86" s="35">
        <f>MAX(AJ53:AJ100)</f>
        <v>0</v>
      </c>
      <c r="AL86" s="35">
        <f t="shared" si="27"/>
        <v>1557</v>
      </c>
      <c r="AM86" s="60">
        <f>MAX(AL53:AL100)</f>
        <v>3062</v>
      </c>
      <c r="AN86" s="2"/>
      <c r="AO86" s="2"/>
      <c r="AP86" s="2"/>
      <c r="AQ86" s="2"/>
      <c r="AR86" s="2"/>
      <c r="AS86" s="2"/>
      <c r="AT86" s="2"/>
      <c r="AU86" s="2"/>
      <c r="AV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 s="1" customFormat="1" x14ac:dyDescent="0.25">
      <c r="A87" s="5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5"/>
      <c r="Q87" s="4"/>
      <c r="R87" s="5"/>
      <c r="S87" s="4"/>
      <c r="T87" s="5"/>
      <c r="U87" s="5"/>
      <c r="X87" s="46">
        <f t="shared" si="17"/>
        <v>0.85416666666666496</v>
      </c>
      <c r="Y87" s="36">
        <f t="shared" si="18"/>
        <v>170</v>
      </c>
      <c r="Z87" s="36">
        <f t="shared" si="19"/>
        <v>226</v>
      </c>
      <c r="AA87" s="36">
        <f t="shared" si="20"/>
        <v>0</v>
      </c>
      <c r="AB87" s="36">
        <f t="shared" si="21"/>
        <v>0</v>
      </c>
      <c r="AC87" s="35">
        <f t="shared" si="22"/>
        <v>396</v>
      </c>
      <c r="AD87" s="35">
        <f t="shared" si="23"/>
        <v>729</v>
      </c>
      <c r="AE87" s="35" t="s">
        <v>17</v>
      </c>
      <c r="AF87" s="35">
        <f t="shared" si="24"/>
        <v>781</v>
      </c>
      <c r="AG87" s="35" t="s">
        <v>17</v>
      </c>
      <c r="AH87" s="35">
        <f t="shared" si="25"/>
        <v>0</v>
      </c>
      <c r="AI87" s="35" t="s">
        <v>17</v>
      </c>
      <c r="AJ87" s="35">
        <f t="shared" si="26"/>
        <v>0</v>
      </c>
      <c r="AK87" s="35" t="s">
        <v>17</v>
      </c>
      <c r="AL87" s="35">
        <f t="shared" si="27"/>
        <v>1510</v>
      </c>
      <c r="AM87" s="60" t="s">
        <v>17</v>
      </c>
      <c r="AN87" s="2"/>
      <c r="AO87" s="2"/>
      <c r="AP87" s="2"/>
      <c r="AQ87" s="2"/>
      <c r="AR87" s="2"/>
      <c r="AS87" s="2"/>
      <c r="AT87" s="2"/>
      <c r="AU87" s="2"/>
      <c r="AV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 s="1" customFormat="1" x14ac:dyDescent="0.25">
      <c r="A88" s="5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5"/>
      <c r="Q88" s="4"/>
      <c r="R88" s="5"/>
      <c r="S88" s="4"/>
      <c r="T88" s="5"/>
      <c r="U88" s="5"/>
      <c r="X88" s="46">
        <f t="shared" si="17"/>
        <v>0.86458333333333204</v>
      </c>
      <c r="Y88" s="36">
        <f t="shared" si="18"/>
        <v>165</v>
      </c>
      <c r="Z88" s="36">
        <f t="shared" si="19"/>
        <v>175</v>
      </c>
      <c r="AA88" s="36">
        <f t="shared" si="20"/>
        <v>0</v>
      </c>
      <c r="AB88" s="36">
        <f t="shared" si="21"/>
        <v>0</v>
      </c>
      <c r="AC88" s="35">
        <f t="shared" si="22"/>
        <v>340</v>
      </c>
      <c r="AD88" s="35">
        <f t="shared" si="23"/>
        <v>731</v>
      </c>
      <c r="AE88" s="35">
        <f>MATCH(AE86,AD53:AD100,0)</f>
        <v>20</v>
      </c>
      <c r="AF88" s="35">
        <f t="shared" si="24"/>
        <v>701</v>
      </c>
      <c r="AG88" s="35">
        <f>MATCH(AG86,AF53:AF100,0)</f>
        <v>15</v>
      </c>
      <c r="AH88" s="35">
        <f t="shared" si="25"/>
        <v>0</v>
      </c>
      <c r="AI88" s="35">
        <f>MATCH(AI86,AH53:AH100,0)</f>
        <v>1</v>
      </c>
      <c r="AJ88" s="35">
        <f t="shared" si="26"/>
        <v>0</v>
      </c>
      <c r="AK88" s="35">
        <f>MATCH(AK86,AJ53:AJ100,0)</f>
        <v>1</v>
      </c>
      <c r="AL88" s="35">
        <f t="shared" si="27"/>
        <v>1432</v>
      </c>
      <c r="AM88" s="60">
        <f>MATCH(AM86,AL53:AL100,0)</f>
        <v>15</v>
      </c>
      <c r="AN88" s="2"/>
      <c r="AO88" s="2"/>
      <c r="AP88" s="2"/>
      <c r="AQ88" s="2"/>
      <c r="AR88" s="2"/>
      <c r="AS88" s="2"/>
      <c r="AT88" s="2"/>
      <c r="AU88" s="2"/>
      <c r="AV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 s="1" customFormat="1" x14ac:dyDescent="0.25">
      <c r="A89" s="5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5"/>
      <c r="Q89" s="4"/>
      <c r="R89" s="5"/>
      <c r="S89" s="4"/>
      <c r="T89" s="5"/>
      <c r="U89" s="5"/>
      <c r="X89" s="46">
        <f t="shared" si="17"/>
        <v>0.874999999999999</v>
      </c>
      <c r="Y89" s="36">
        <f t="shared" si="18"/>
        <v>213</v>
      </c>
      <c r="Z89" s="36">
        <f t="shared" si="19"/>
        <v>192</v>
      </c>
      <c r="AA89" s="36">
        <f t="shared" si="20"/>
        <v>0</v>
      </c>
      <c r="AB89" s="36">
        <f t="shared" si="21"/>
        <v>0</v>
      </c>
      <c r="AC89" s="35">
        <f t="shared" si="22"/>
        <v>405</v>
      </c>
      <c r="AD89" s="35">
        <f t="shared" si="23"/>
        <v>718</v>
      </c>
      <c r="AE89" s="35" t="s">
        <v>18</v>
      </c>
      <c r="AF89" s="35">
        <f t="shared" si="24"/>
        <v>724</v>
      </c>
      <c r="AG89" s="35" t="s">
        <v>18</v>
      </c>
      <c r="AH89" s="35">
        <f t="shared" si="25"/>
        <v>0</v>
      </c>
      <c r="AI89" s="35" t="s">
        <v>18</v>
      </c>
      <c r="AJ89" s="35">
        <f t="shared" si="26"/>
        <v>0</v>
      </c>
      <c r="AK89" s="35" t="s">
        <v>18</v>
      </c>
      <c r="AL89" s="35">
        <f t="shared" si="27"/>
        <v>1442</v>
      </c>
      <c r="AM89" s="60" t="s">
        <v>18</v>
      </c>
      <c r="AN89" s="2"/>
      <c r="AO89" s="2"/>
      <c r="AP89" s="2"/>
      <c r="AQ89" s="2"/>
      <c r="AR89" s="2"/>
      <c r="AS89" s="2"/>
      <c r="AT89" s="2"/>
      <c r="AU89" s="2"/>
      <c r="AV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 s="1" customFormat="1" x14ac:dyDescent="0.25">
      <c r="A90" s="5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5"/>
      <c r="Q90" s="4"/>
      <c r="R90" s="5"/>
      <c r="S90" s="4"/>
      <c r="T90" s="5"/>
      <c r="U90" s="5"/>
      <c r="X90" s="46">
        <f t="shared" si="17"/>
        <v>0.88541666666666496</v>
      </c>
      <c r="Y90" s="36">
        <f t="shared" si="18"/>
        <v>181</v>
      </c>
      <c r="Z90" s="36">
        <f t="shared" si="19"/>
        <v>188</v>
      </c>
      <c r="AA90" s="36">
        <f t="shared" si="20"/>
        <v>0</v>
      </c>
      <c r="AB90" s="36">
        <f t="shared" si="21"/>
        <v>0</v>
      </c>
      <c r="AC90" s="35">
        <f t="shared" si="22"/>
        <v>369</v>
      </c>
      <c r="AD90" s="35">
        <f t="shared" si="23"/>
        <v>683</v>
      </c>
      <c r="AE90" s="35" t="s">
        <v>19</v>
      </c>
      <c r="AF90" s="35">
        <f t="shared" si="24"/>
        <v>708</v>
      </c>
      <c r="AG90" s="35" t="s">
        <v>19</v>
      </c>
      <c r="AH90" s="35">
        <f t="shared" si="25"/>
        <v>0</v>
      </c>
      <c r="AI90" s="35" t="s">
        <v>19</v>
      </c>
      <c r="AJ90" s="35">
        <f t="shared" si="26"/>
        <v>0</v>
      </c>
      <c r="AK90" s="35" t="s">
        <v>19</v>
      </c>
      <c r="AL90" s="35">
        <f t="shared" si="27"/>
        <v>1391</v>
      </c>
      <c r="AM90" s="60" t="s">
        <v>19</v>
      </c>
      <c r="AN90" s="2"/>
      <c r="AO90" s="2"/>
      <c r="AP90" s="2"/>
      <c r="AQ90" s="2"/>
      <c r="AR90" s="2"/>
      <c r="AS90" s="2"/>
      <c r="AT90" s="2"/>
      <c r="AU90" s="2"/>
      <c r="AV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 s="1" customFormat="1" x14ac:dyDescent="0.25">
      <c r="A91" s="5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5"/>
      <c r="Q91" s="4"/>
      <c r="R91" s="5"/>
      <c r="S91" s="4"/>
      <c r="T91" s="5"/>
      <c r="U91" s="5"/>
      <c r="X91" s="46">
        <f t="shared" si="17"/>
        <v>0.89583333333333204</v>
      </c>
      <c r="Y91" s="36">
        <f t="shared" si="18"/>
        <v>172</v>
      </c>
      <c r="Z91" s="36">
        <f t="shared" si="19"/>
        <v>146</v>
      </c>
      <c r="AA91" s="36">
        <f t="shared" si="20"/>
        <v>0</v>
      </c>
      <c r="AB91" s="36">
        <f t="shared" si="21"/>
        <v>0</v>
      </c>
      <c r="AC91" s="35">
        <f t="shared" si="22"/>
        <v>318</v>
      </c>
      <c r="AD91" s="35">
        <f t="shared" si="23"/>
        <v>652</v>
      </c>
      <c r="AE91" s="45">
        <f>IF(AE86=0,0,(INDEX($X53:$X100,AE88,$X$100)))</f>
        <v>0.69791666666666596</v>
      </c>
      <c r="AF91" s="35">
        <f t="shared" si="24"/>
        <v>684</v>
      </c>
      <c r="AG91" s="45">
        <f>IF(AG86=0,0,(INDEX($X53:$X100,AG88,$X$100)))</f>
        <v>0.64583333333333304</v>
      </c>
      <c r="AH91" s="35">
        <f t="shared" si="25"/>
        <v>0</v>
      </c>
      <c r="AI91" s="45">
        <f>IF(AI86=0,0,(INDEX($X53:$X100,AI88,$X$100)))</f>
        <v>0</v>
      </c>
      <c r="AJ91" s="35">
        <f t="shared" si="26"/>
        <v>0</v>
      </c>
      <c r="AK91" s="45">
        <f>IF(AK86=0,0,(INDEX($X53:$X100,AK88,$X$100)))</f>
        <v>0</v>
      </c>
      <c r="AL91" s="35">
        <f t="shared" si="27"/>
        <v>1336</v>
      </c>
      <c r="AM91" s="111">
        <f>IF(AM86=0,0,(INDEX($X53:$X100,AM88,$X$100)))</f>
        <v>0.64583333333333304</v>
      </c>
      <c r="AN91" s="2"/>
      <c r="AO91" s="2"/>
      <c r="AP91" s="2"/>
      <c r="AQ91" s="2"/>
      <c r="AR91" s="2"/>
      <c r="AS91" s="2"/>
      <c r="AT91" s="2"/>
      <c r="AU91" s="2"/>
      <c r="AV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 s="1" customFormat="1" x14ac:dyDescent="0.25">
      <c r="A92" s="5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5"/>
      <c r="Q92" s="4"/>
      <c r="R92" s="5"/>
      <c r="S92" s="4"/>
      <c r="T92" s="5"/>
      <c r="U92" s="5"/>
      <c r="X92" s="46">
        <f t="shared" si="17"/>
        <v>0.906249999999999</v>
      </c>
      <c r="Y92" s="36">
        <f t="shared" si="18"/>
        <v>152</v>
      </c>
      <c r="Z92" s="36">
        <f t="shared" si="19"/>
        <v>198</v>
      </c>
      <c r="AA92" s="36">
        <f t="shared" si="20"/>
        <v>0</v>
      </c>
      <c r="AB92" s="36">
        <f t="shared" si="21"/>
        <v>0</v>
      </c>
      <c r="AC92" s="35">
        <f t="shared" si="22"/>
        <v>350</v>
      </c>
      <c r="AD92" s="35">
        <f t="shared" si="23"/>
        <v>612</v>
      </c>
      <c r="AE92" s="112">
        <f>INDEX(M5:M52,AE88,1)</f>
        <v>356</v>
      </c>
      <c r="AF92" s="35">
        <f t="shared" si="24"/>
        <v>690</v>
      </c>
      <c r="AG92" s="112">
        <f>INDEX(O5:O52,AG88,1)</f>
        <v>384</v>
      </c>
      <c r="AH92" s="35">
        <f t="shared" si="25"/>
        <v>0</v>
      </c>
      <c r="AI92" s="112">
        <f>INDEX(Q5:Q52,AI88,1)</f>
        <v>0</v>
      </c>
      <c r="AJ92" s="35">
        <f t="shared" si="26"/>
        <v>0</v>
      </c>
      <c r="AK92" s="112">
        <f>INDEX(S5:S52,AK88,1)</f>
        <v>0</v>
      </c>
      <c r="AL92" s="35">
        <f t="shared" si="27"/>
        <v>1302</v>
      </c>
      <c r="AM92" s="113">
        <f>INDEX(Y$53:Y$100+Z$53:Z$100+AA$53:AA$100+AB$53:AB$100,AM$88,1)</f>
        <v>784</v>
      </c>
      <c r="AN92" s="2"/>
      <c r="AO92" s="2"/>
      <c r="AP92" s="2"/>
      <c r="AQ92" s="2"/>
      <c r="AR92" s="2"/>
      <c r="AS92" s="2"/>
      <c r="AT92" s="2"/>
      <c r="AU92" s="2"/>
      <c r="AV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 s="1" customFormat="1" x14ac:dyDescent="0.25">
      <c r="A93" s="5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5"/>
      <c r="Q93" s="4"/>
      <c r="R93" s="5"/>
      <c r="S93" s="4"/>
      <c r="T93" s="5"/>
      <c r="U93" s="5"/>
      <c r="X93" s="46">
        <f t="shared" si="17"/>
        <v>0.91666666666666496</v>
      </c>
      <c r="Y93" s="36">
        <f t="shared" si="18"/>
        <v>178</v>
      </c>
      <c r="Z93" s="36">
        <f t="shared" si="19"/>
        <v>176</v>
      </c>
      <c r="AA93" s="36">
        <f t="shared" si="20"/>
        <v>0</v>
      </c>
      <c r="AB93" s="36">
        <f t="shared" si="21"/>
        <v>0</v>
      </c>
      <c r="AC93" s="35">
        <f t="shared" si="22"/>
        <v>354</v>
      </c>
      <c r="AD93" s="35">
        <f t="shared" si="23"/>
        <v>563</v>
      </c>
      <c r="AE93" s="112">
        <f>INDEX(M5:M52,AE88+1,1)</f>
        <v>348</v>
      </c>
      <c r="AF93" s="35">
        <f t="shared" si="24"/>
        <v>630</v>
      </c>
      <c r="AG93" s="112">
        <f>INDEX(O5:O52,AG88+1,1)</f>
        <v>478</v>
      </c>
      <c r="AH93" s="35">
        <f t="shared" si="25"/>
        <v>0</v>
      </c>
      <c r="AI93" s="112">
        <f>INDEX(Q5:Q52,AI88+1,1)</f>
        <v>0</v>
      </c>
      <c r="AJ93" s="35">
        <f t="shared" si="26"/>
        <v>0</v>
      </c>
      <c r="AK93" s="112">
        <f>INDEX(S5:S52,AK88+1,1)</f>
        <v>0</v>
      </c>
      <c r="AL93" s="35">
        <f t="shared" si="27"/>
        <v>1193</v>
      </c>
      <c r="AM93" s="113">
        <f>INDEX(Y$53:Y$100+Z$53:Z$100+AA$53:AA$100+AB$53:AB$100,AM$88+1,1)</f>
        <v>843</v>
      </c>
      <c r="AN93" s="2"/>
      <c r="AO93" s="2"/>
      <c r="AP93" s="2"/>
      <c r="AQ93" s="2"/>
      <c r="AR93" s="2"/>
      <c r="AS93" s="2"/>
      <c r="AT93" s="2"/>
      <c r="AU93" s="2"/>
      <c r="AV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 s="1" customFormat="1" x14ac:dyDescent="0.25">
      <c r="A94" s="5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5"/>
      <c r="Q94" s="4"/>
      <c r="R94" s="5"/>
      <c r="S94" s="4"/>
      <c r="T94" s="5"/>
      <c r="U94" s="5"/>
      <c r="X94" s="46">
        <f t="shared" si="17"/>
        <v>0.92708333333333204</v>
      </c>
      <c r="Y94" s="36">
        <f t="shared" si="18"/>
        <v>150</v>
      </c>
      <c r="Z94" s="36">
        <f t="shared" si="19"/>
        <v>164</v>
      </c>
      <c r="AA94" s="36">
        <f t="shared" si="20"/>
        <v>0</v>
      </c>
      <c r="AB94" s="36">
        <f t="shared" si="21"/>
        <v>0</v>
      </c>
      <c r="AC94" s="35">
        <f t="shared" si="22"/>
        <v>314</v>
      </c>
      <c r="AD94" s="35">
        <f t="shared" si="23"/>
        <v>500</v>
      </c>
      <c r="AE94" s="112">
        <f>INDEX(M5:M52,AE88+2,1)</f>
        <v>387</v>
      </c>
      <c r="AF94" s="35">
        <f t="shared" si="24"/>
        <v>597</v>
      </c>
      <c r="AG94" s="112">
        <f>INDEX(O5:O52,AG88+2,1)</f>
        <v>456</v>
      </c>
      <c r="AH94" s="35">
        <f t="shared" si="25"/>
        <v>0</v>
      </c>
      <c r="AI94" s="112">
        <f>INDEX(Q5:Q52,AI88+2,1)</f>
        <v>0</v>
      </c>
      <c r="AJ94" s="35">
        <f t="shared" si="26"/>
        <v>0</v>
      </c>
      <c r="AK94" s="112">
        <f>INDEX(S5:S52,AK88+2,1)</f>
        <v>0</v>
      </c>
      <c r="AL94" s="35">
        <f t="shared" si="27"/>
        <v>1097</v>
      </c>
      <c r="AM94" s="113">
        <f>INDEX(Y$53:Y$100+Z$53:Z$100+AA$53:AA$100+AB$53:AB$100,AM$88+2,1)</f>
        <v>784</v>
      </c>
      <c r="AN94" s="2"/>
      <c r="AO94" s="2"/>
      <c r="AP94" s="2"/>
      <c r="AQ94" s="2"/>
      <c r="AR94" s="2"/>
      <c r="AS94" s="2"/>
      <c r="AT94" s="2"/>
      <c r="AU94" s="2"/>
      <c r="AV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 s="1" customFormat="1" x14ac:dyDescent="0.25">
      <c r="A95" s="5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5"/>
      <c r="Q95" s="4"/>
      <c r="R95" s="5"/>
      <c r="S95" s="4"/>
      <c r="T95" s="5"/>
      <c r="U95" s="5"/>
      <c r="X95" s="46">
        <f t="shared" si="17"/>
        <v>0.937499999999998</v>
      </c>
      <c r="Y95" s="36">
        <f t="shared" si="18"/>
        <v>132</v>
      </c>
      <c r="Z95" s="36">
        <f t="shared" si="19"/>
        <v>152</v>
      </c>
      <c r="AA95" s="36">
        <f t="shared" si="20"/>
        <v>0</v>
      </c>
      <c r="AB95" s="36">
        <f t="shared" si="21"/>
        <v>0</v>
      </c>
      <c r="AC95" s="35">
        <f t="shared" si="22"/>
        <v>284</v>
      </c>
      <c r="AD95" s="35">
        <f t="shared" si="23"/>
        <v>454</v>
      </c>
      <c r="AE95" s="112">
        <f>INDEX(M5:M52,AE88+3,1)</f>
        <v>359</v>
      </c>
      <c r="AF95" s="35">
        <f t="shared" si="24"/>
        <v>541</v>
      </c>
      <c r="AG95" s="112">
        <f>INDEX(O5:O52,AG88+3,1)</f>
        <v>379</v>
      </c>
      <c r="AH95" s="35">
        <f t="shared" si="25"/>
        <v>0</v>
      </c>
      <c r="AI95" s="112">
        <f>INDEX(Q5:Q52,AI88+3,1)</f>
        <v>0</v>
      </c>
      <c r="AJ95" s="35">
        <f t="shared" si="26"/>
        <v>0</v>
      </c>
      <c r="AK95" s="112">
        <f>INDEX(S5:S52,AK88+3,1)</f>
        <v>0</v>
      </c>
      <c r="AL95" s="35">
        <f t="shared" si="27"/>
        <v>995</v>
      </c>
      <c r="AM95" s="113">
        <f>INDEX(Y$53:Y$100+Z$53:Z$100+AA$53:AA$100+AB$53:AB$100,AM$88+3,1)</f>
        <v>651</v>
      </c>
      <c r="AN95" s="2"/>
      <c r="AO95" s="2"/>
      <c r="AP95" s="2"/>
      <c r="AQ95" s="2"/>
      <c r="AR95" s="2"/>
      <c r="AS95" s="2"/>
      <c r="AT95" s="2"/>
      <c r="AU95" s="2"/>
      <c r="AV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 s="1" customFormat="1" x14ac:dyDescent="0.25">
      <c r="A96" s="5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5"/>
      <c r="Q96" s="4"/>
      <c r="R96" s="5"/>
      <c r="S96" s="4"/>
      <c r="T96" s="5"/>
      <c r="U96" s="5"/>
      <c r="X96" s="46">
        <f t="shared" si="17"/>
        <v>0.94791666666666496</v>
      </c>
      <c r="Y96" s="36">
        <f t="shared" si="18"/>
        <v>103</v>
      </c>
      <c r="Z96" s="36">
        <f t="shared" si="19"/>
        <v>138</v>
      </c>
      <c r="AA96" s="36">
        <f t="shared" si="20"/>
        <v>0</v>
      </c>
      <c r="AB96" s="36">
        <f t="shared" si="21"/>
        <v>0</v>
      </c>
      <c r="AC96" s="35">
        <f t="shared" si="22"/>
        <v>241</v>
      </c>
      <c r="AD96" s="35">
        <f t="shared" si="23"/>
        <v>417</v>
      </c>
      <c r="AE96" s="35" t="s">
        <v>24</v>
      </c>
      <c r="AF96" s="35">
        <f t="shared" si="24"/>
        <v>485</v>
      </c>
      <c r="AG96" s="35" t="s">
        <v>24</v>
      </c>
      <c r="AH96" s="35">
        <f t="shared" si="25"/>
        <v>0</v>
      </c>
      <c r="AI96" s="35" t="s">
        <v>24</v>
      </c>
      <c r="AJ96" s="35">
        <f t="shared" si="26"/>
        <v>0</v>
      </c>
      <c r="AK96" s="35" t="s">
        <v>24</v>
      </c>
      <c r="AL96" s="35">
        <f t="shared" si="27"/>
        <v>902</v>
      </c>
      <c r="AM96" s="60" t="s">
        <v>24</v>
      </c>
      <c r="AN96" s="2"/>
      <c r="AO96" s="2"/>
      <c r="AP96" s="2"/>
      <c r="AQ96" s="2"/>
      <c r="AR96" s="2"/>
      <c r="AS96" s="2"/>
      <c r="AT96" s="2"/>
      <c r="AU96" s="2"/>
      <c r="AV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 s="1" customFormat="1" x14ac:dyDescent="0.25">
      <c r="A97" s="5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5"/>
      <c r="Q97" s="4"/>
      <c r="R97" s="5"/>
      <c r="S97" s="4"/>
      <c r="T97" s="5"/>
      <c r="U97" s="5"/>
      <c r="X97" s="46">
        <f t="shared" si="17"/>
        <v>0.95833333333333204</v>
      </c>
      <c r="Y97" s="36">
        <f t="shared" si="18"/>
        <v>115</v>
      </c>
      <c r="Z97" s="36">
        <f t="shared" si="19"/>
        <v>143</v>
      </c>
      <c r="AA97" s="36">
        <f t="shared" si="20"/>
        <v>0</v>
      </c>
      <c r="AB97" s="36">
        <f t="shared" si="21"/>
        <v>0</v>
      </c>
      <c r="AC97" s="35">
        <f t="shared" si="22"/>
        <v>258</v>
      </c>
      <c r="AD97" s="35">
        <f t="shared" si="23"/>
        <v>403</v>
      </c>
      <c r="AE97" s="35">
        <f>MAX(AE92:AE95)</f>
        <v>387</v>
      </c>
      <c r="AF97" s="35">
        <f t="shared" si="24"/>
        <v>431</v>
      </c>
      <c r="AG97" s="35">
        <f>MAX(AG92:AG95)</f>
        <v>478</v>
      </c>
      <c r="AH97" s="35">
        <f t="shared" si="25"/>
        <v>0</v>
      </c>
      <c r="AI97" s="35">
        <f>MAX(AI92:AI95)</f>
        <v>0</v>
      </c>
      <c r="AJ97" s="35">
        <f t="shared" si="26"/>
        <v>0</v>
      </c>
      <c r="AK97" s="35">
        <f>MAX(AK92:AK95)</f>
        <v>0</v>
      </c>
      <c r="AL97" s="35">
        <f t="shared" si="27"/>
        <v>834</v>
      </c>
      <c r="AM97" s="60">
        <f>MAX(AM92:AM95)</f>
        <v>843</v>
      </c>
      <c r="AN97" s="2"/>
      <c r="AO97" s="2"/>
      <c r="AP97" s="2"/>
      <c r="AQ97" s="2"/>
      <c r="AR97" s="2"/>
      <c r="AS97" s="2"/>
      <c r="AT97" s="2"/>
      <c r="AU97" s="2"/>
      <c r="AV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 s="1" customFormat="1" x14ac:dyDescent="0.25">
      <c r="A98" s="5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5"/>
      <c r="Q98" s="4"/>
      <c r="R98" s="5"/>
      <c r="S98" s="4"/>
      <c r="T98" s="5"/>
      <c r="U98" s="5"/>
      <c r="X98" s="46">
        <f t="shared" si="17"/>
        <v>0.968749999999998</v>
      </c>
      <c r="Y98" s="36">
        <f t="shared" si="18"/>
        <v>104</v>
      </c>
      <c r="Z98" s="36">
        <f t="shared" si="19"/>
        <v>108</v>
      </c>
      <c r="AA98" s="36">
        <f t="shared" si="20"/>
        <v>0</v>
      </c>
      <c r="AB98" s="36">
        <f t="shared" si="21"/>
        <v>0</v>
      </c>
      <c r="AC98" s="35">
        <f t="shared" si="22"/>
        <v>212</v>
      </c>
      <c r="AD98" s="35">
        <f t="shared" si="23"/>
        <v>288</v>
      </c>
      <c r="AE98" s="35"/>
      <c r="AF98" s="35">
        <f t="shared" si="24"/>
        <v>288</v>
      </c>
      <c r="AG98" s="35"/>
      <c r="AH98" s="35">
        <f t="shared" si="25"/>
        <v>0</v>
      </c>
      <c r="AI98" s="35"/>
      <c r="AJ98" s="35">
        <f t="shared" si="26"/>
        <v>0</v>
      </c>
      <c r="AK98" s="35"/>
      <c r="AL98" s="35">
        <f t="shared" si="27"/>
        <v>576</v>
      </c>
      <c r="AM98" s="60"/>
      <c r="AN98" s="2"/>
      <c r="AO98" s="2"/>
      <c r="AP98" s="2"/>
      <c r="AQ98" s="2"/>
      <c r="AR98" s="2"/>
      <c r="AS98" s="2"/>
      <c r="AT98" s="2"/>
      <c r="AU98" s="2"/>
      <c r="AV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 s="1" customFormat="1" x14ac:dyDescent="0.25">
      <c r="A99" s="5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5"/>
      <c r="Q99" s="4"/>
      <c r="R99" s="5"/>
      <c r="S99" s="4"/>
      <c r="T99" s="5"/>
      <c r="U99" s="5"/>
      <c r="X99" s="46">
        <f t="shared" si="17"/>
        <v>0.97916666666666496</v>
      </c>
      <c r="Y99" s="36">
        <f t="shared" si="18"/>
        <v>95</v>
      </c>
      <c r="Z99" s="36">
        <f t="shared" si="19"/>
        <v>96</v>
      </c>
      <c r="AA99" s="36">
        <f t="shared" si="20"/>
        <v>0</v>
      </c>
      <c r="AB99" s="36">
        <f t="shared" si="21"/>
        <v>0</v>
      </c>
      <c r="AC99" s="35">
        <f t="shared" si="22"/>
        <v>191</v>
      </c>
      <c r="AD99" s="35">
        <f t="shared" si="23"/>
        <v>184</v>
      </c>
      <c r="AE99" s="35" t="s">
        <v>25</v>
      </c>
      <c r="AF99" s="35">
        <f t="shared" si="24"/>
        <v>180</v>
      </c>
      <c r="AG99" s="35" t="s">
        <v>25</v>
      </c>
      <c r="AH99" s="35">
        <f t="shared" si="25"/>
        <v>0</v>
      </c>
      <c r="AI99" s="35" t="s">
        <v>25</v>
      </c>
      <c r="AJ99" s="35">
        <f t="shared" si="26"/>
        <v>0</v>
      </c>
      <c r="AK99" s="35" t="s">
        <v>25</v>
      </c>
      <c r="AL99" s="35">
        <f t="shared" si="27"/>
        <v>364</v>
      </c>
      <c r="AM99" s="60" t="s">
        <v>25</v>
      </c>
      <c r="AN99" s="2"/>
      <c r="AO99" s="2"/>
      <c r="AP99" s="2"/>
      <c r="AQ99" s="2"/>
      <c r="AR99" s="2"/>
      <c r="AS99" s="2"/>
      <c r="AT99" s="2"/>
      <c r="AU99" s="2"/>
      <c r="AV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 s="1" customFormat="1" x14ac:dyDescent="0.25">
      <c r="A100" s="5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5"/>
      <c r="Q100" s="4"/>
      <c r="R100" s="5"/>
      <c r="S100" s="4"/>
      <c r="T100" s="5"/>
      <c r="U100" s="5"/>
      <c r="X100" s="46">
        <f t="shared" si="17"/>
        <v>0.98958333333333204</v>
      </c>
      <c r="Y100" s="36">
        <f t="shared" si="18"/>
        <v>89</v>
      </c>
      <c r="Z100" s="36">
        <f t="shared" si="19"/>
        <v>84</v>
      </c>
      <c r="AA100" s="36">
        <f t="shared" si="20"/>
        <v>0</v>
      </c>
      <c r="AB100" s="36">
        <f t="shared" si="21"/>
        <v>0</v>
      </c>
      <c r="AC100" s="35">
        <f t="shared" si="22"/>
        <v>173</v>
      </c>
      <c r="AD100" s="35">
        <f t="shared" si="23"/>
        <v>89</v>
      </c>
      <c r="AE100" s="114">
        <f>IF(SUM(AE92:AE95)=0,0,(SUM(AE92:AE95)/(AE97*4)))</f>
        <v>0.93669250645994828</v>
      </c>
      <c r="AF100" s="35">
        <f t="shared" si="24"/>
        <v>84</v>
      </c>
      <c r="AG100" s="114">
        <f>IF(SUM(AG92:AG95)=0,0,(SUM(AG92:AG95)/(AG97*4)))</f>
        <v>0.8875523012552301</v>
      </c>
      <c r="AH100" s="35">
        <f t="shared" si="25"/>
        <v>0</v>
      </c>
      <c r="AI100" s="114">
        <f>IF(SUM(AI92:AI95)=0,0,(SUM(AI92:AI95)/(AI97*4)))</f>
        <v>0</v>
      </c>
      <c r="AJ100" s="35">
        <f t="shared" si="26"/>
        <v>0</v>
      </c>
      <c r="AK100" s="114">
        <f>IF(SUM(AK92:AK95)=0,0,(SUM(AK92:AK95)/(AK97*4)))</f>
        <v>0</v>
      </c>
      <c r="AL100" s="35">
        <f t="shared" si="27"/>
        <v>173</v>
      </c>
      <c r="AM100" s="115">
        <f>IF(SUM(AM92:AM95)=0,0,(SUM(AM92:AM95)/(AM97*4)))</f>
        <v>0.9080664294187426</v>
      </c>
      <c r="AN100" s="2"/>
      <c r="AO100" s="2"/>
      <c r="AP100" s="2"/>
      <c r="AQ100" s="2"/>
      <c r="AR100" s="2"/>
      <c r="AS100" s="2"/>
      <c r="AT100" s="2"/>
      <c r="AU100" s="2"/>
      <c r="AV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 s="1" customFormat="1" x14ac:dyDescent="0.25">
      <c r="A101" s="5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5"/>
      <c r="Q101" s="4"/>
      <c r="R101" s="5"/>
      <c r="S101" s="4"/>
      <c r="T101" s="5"/>
      <c r="U101" s="5"/>
      <c r="X101" s="46"/>
      <c r="AN101" s="2"/>
      <c r="AO101" s="2"/>
      <c r="AP101" s="2"/>
      <c r="AQ101" s="2"/>
      <c r="AR101" s="2"/>
      <c r="AS101" s="2"/>
      <c r="AT101" s="2"/>
      <c r="AU101" s="2"/>
      <c r="AV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 s="1" customFormat="1" x14ac:dyDescent="0.25">
      <c r="A102" s="5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5"/>
      <c r="Q102" s="4"/>
      <c r="R102" s="5"/>
      <c r="S102" s="4"/>
      <c r="T102" s="5"/>
      <c r="U102" s="5"/>
      <c r="X102" s="46"/>
      <c r="AN102" s="2"/>
      <c r="AO102" s="2"/>
      <c r="AP102" s="2"/>
      <c r="AQ102" s="2"/>
      <c r="AR102" s="2"/>
      <c r="AS102" s="2"/>
      <c r="AT102" s="2"/>
      <c r="AU102" s="2"/>
      <c r="AV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 s="1" customFormat="1" x14ac:dyDescent="0.25">
      <c r="A103" s="5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5"/>
      <c r="Q103" s="4"/>
      <c r="R103" s="5"/>
      <c r="S103" s="4"/>
      <c r="T103" s="5"/>
      <c r="U103" s="5"/>
      <c r="X103" s="46"/>
      <c r="AN103" s="2"/>
      <c r="AO103" s="2"/>
      <c r="AP103" s="2"/>
      <c r="AQ103" s="2"/>
      <c r="AR103" s="2"/>
      <c r="AS103" s="2"/>
      <c r="AT103" s="2"/>
      <c r="AU103" s="2"/>
      <c r="AV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  <row r="104" spans="1:98" s="1" customFormat="1" x14ac:dyDescent="0.25">
      <c r="A104" s="5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5"/>
      <c r="Q104" s="4"/>
      <c r="R104" s="5"/>
      <c r="S104" s="4"/>
      <c r="T104" s="5"/>
      <c r="U104" s="5"/>
      <c r="X104" s="46"/>
      <c r="AN104" s="2"/>
      <c r="AO104" s="2"/>
      <c r="AP104" s="2"/>
      <c r="AQ104" s="2"/>
      <c r="AR104" s="2"/>
      <c r="AS104" s="2"/>
      <c r="AT104" s="2"/>
      <c r="AU104" s="2"/>
      <c r="AV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</row>
    <row r="105" spans="1:98" s="1" customFormat="1" x14ac:dyDescent="0.25">
      <c r="A105" s="5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5"/>
      <c r="Q105" s="4"/>
      <c r="R105" s="5"/>
      <c r="S105" s="4"/>
      <c r="T105" s="5"/>
      <c r="U105" s="5"/>
      <c r="X105" s="46"/>
      <c r="AN105" s="2"/>
      <c r="AO105" s="2"/>
      <c r="AP105" s="2"/>
      <c r="AQ105" s="2"/>
      <c r="AR105" s="2"/>
      <c r="AS105" s="2"/>
      <c r="AT105" s="2"/>
      <c r="AU105" s="2"/>
      <c r="AV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</row>
    <row r="106" spans="1:98" s="1" customFormat="1" x14ac:dyDescent="0.25">
      <c r="A106" s="5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5"/>
      <c r="Q106" s="4"/>
      <c r="R106" s="5"/>
      <c r="S106" s="4"/>
      <c r="T106" s="5"/>
      <c r="U106" s="5"/>
      <c r="X106" s="46"/>
      <c r="AN106" s="2"/>
      <c r="AO106" s="2"/>
      <c r="AP106" s="2"/>
      <c r="AQ106" s="2"/>
      <c r="AR106" s="2"/>
      <c r="AS106" s="2"/>
      <c r="AT106" s="2"/>
      <c r="AU106" s="2"/>
      <c r="AV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</row>
    <row r="107" spans="1:98" s="1" customFormat="1" x14ac:dyDescent="0.25">
      <c r="A107" s="5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5"/>
      <c r="Q107" s="4"/>
      <c r="R107" s="5"/>
      <c r="S107" s="4"/>
      <c r="T107" s="5"/>
      <c r="U107" s="5"/>
      <c r="X107" s="46"/>
      <c r="AN107" s="2"/>
      <c r="AO107" s="2"/>
      <c r="AP107" s="2"/>
      <c r="AQ107" s="2"/>
      <c r="AR107" s="2"/>
      <c r="AS107" s="2"/>
      <c r="AT107" s="2"/>
      <c r="AU107" s="2"/>
      <c r="AV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</row>
    <row r="108" spans="1:98" s="1" customFormat="1" x14ac:dyDescent="0.25">
      <c r="A108" s="5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5"/>
      <c r="Q108" s="4"/>
      <c r="R108" s="5"/>
      <c r="S108" s="4"/>
      <c r="T108" s="5"/>
      <c r="U108" s="5"/>
      <c r="X108" s="46"/>
      <c r="AN108" s="2"/>
      <c r="AO108" s="2"/>
      <c r="AP108" s="2"/>
      <c r="AQ108" s="2"/>
      <c r="AR108" s="2"/>
      <c r="AS108" s="2"/>
      <c r="AT108" s="2"/>
      <c r="AU108" s="2"/>
      <c r="AV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</row>
    <row r="109" spans="1:98" s="1" customFormat="1" x14ac:dyDescent="0.25">
      <c r="A109" s="5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5"/>
      <c r="Q109" s="4"/>
      <c r="R109" s="5"/>
      <c r="S109" s="4"/>
      <c r="T109" s="5"/>
      <c r="U109" s="5"/>
      <c r="X109" s="46"/>
      <c r="AN109" s="2"/>
      <c r="AO109" s="2"/>
      <c r="AP109" s="2"/>
      <c r="AQ109" s="2"/>
      <c r="AR109" s="2"/>
      <c r="AS109" s="2"/>
      <c r="AT109" s="2"/>
      <c r="AU109" s="2"/>
      <c r="AV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</row>
    <row r="110" spans="1:98" s="1" customFormat="1" x14ac:dyDescent="0.25">
      <c r="A110" s="5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5"/>
      <c r="Q110" s="4"/>
      <c r="R110" s="5"/>
      <c r="S110" s="4"/>
      <c r="T110" s="5"/>
      <c r="U110" s="5"/>
      <c r="X110" s="116"/>
      <c r="AN110" s="2"/>
      <c r="AO110" s="2"/>
      <c r="AP110" s="2"/>
      <c r="AQ110" s="2"/>
      <c r="AR110" s="2"/>
      <c r="AS110" s="2"/>
      <c r="AT110" s="2"/>
      <c r="AU110" s="2"/>
      <c r="AV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</row>
    <row r="111" spans="1:98" s="1" customFormat="1" x14ac:dyDescent="0.25">
      <c r="A111" s="5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5"/>
      <c r="Q111" s="4"/>
      <c r="R111" s="5"/>
      <c r="S111" s="4"/>
      <c r="T111" s="5"/>
      <c r="U111" s="5"/>
      <c r="X111" s="116"/>
      <c r="AN111" s="2"/>
      <c r="AO111" s="2"/>
      <c r="AP111" s="2"/>
      <c r="AQ111" s="2"/>
      <c r="AR111" s="2"/>
      <c r="AS111" s="2"/>
      <c r="AT111" s="2"/>
      <c r="AU111" s="2"/>
      <c r="AV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</row>
    <row r="112" spans="1:98" s="1" customFormat="1" x14ac:dyDescent="0.25">
      <c r="A112" s="5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5"/>
      <c r="Q112" s="4"/>
      <c r="R112" s="5"/>
      <c r="S112" s="4"/>
      <c r="T112" s="5"/>
      <c r="U112" s="5"/>
      <c r="X112" s="116"/>
      <c r="AN112" s="2"/>
      <c r="AO112" s="2"/>
      <c r="AP112" s="2"/>
      <c r="AQ112" s="2"/>
      <c r="AR112" s="2"/>
      <c r="AS112" s="2"/>
      <c r="AT112" s="2"/>
      <c r="AU112" s="2"/>
      <c r="AV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</row>
    <row r="113" spans="1:98" s="1" customFormat="1" x14ac:dyDescent="0.25">
      <c r="A113" s="5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5"/>
      <c r="Q113" s="4"/>
      <c r="R113" s="5"/>
      <c r="S113" s="4"/>
      <c r="T113" s="5"/>
      <c r="U113" s="5"/>
      <c r="X113" s="116"/>
      <c r="AN113" s="2"/>
      <c r="AO113" s="2"/>
      <c r="AP113" s="2"/>
      <c r="AQ113" s="2"/>
      <c r="AR113" s="2"/>
      <c r="AS113" s="2"/>
      <c r="AT113" s="2"/>
      <c r="AU113" s="2"/>
      <c r="AV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</row>
    <row r="114" spans="1:98" s="1" customFormat="1" x14ac:dyDescent="0.25">
      <c r="A114" s="5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5"/>
      <c r="Q114" s="4"/>
      <c r="R114" s="5"/>
      <c r="S114" s="4"/>
      <c r="T114" s="5"/>
      <c r="U114" s="5"/>
      <c r="X114" s="116"/>
      <c r="AN114" s="2"/>
      <c r="AO114" s="2"/>
      <c r="AP114" s="2"/>
      <c r="AQ114" s="2"/>
      <c r="AR114" s="2"/>
      <c r="AS114" s="2"/>
      <c r="AT114" s="2"/>
      <c r="AU114" s="2"/>
      <c r="AV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</row>
    <row r="115" spans="1:98" s="1" customFormat="1" x14ac:dyDescent="0.25">
      <c r="A115" s="5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5"/>
      <c r="Q115" s="4"/>
      <c r="R115" s="5"/>
      <c r="S115" s="4"/>
      <c r="T115" s="5"/>
      <c r="U115" s="5"/>
      <c r="X115" s="116"/>
      <c r="AN115" s="2"/>
      <c r="AO115" s="2"/>
      <c r="AP115" s="2"/>
      <c r="AQ115" s="2"/>
      <c r="AR115" s="2"/>
      <c r="AS115" s="2"/>
      <c r="AT115" s="2"/>
      <c r="AU115" s="2"/>
      <c r="AV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</row>
    <row r="116" spans="1:98" s="1" customFormat="1" x14ac:dyDescent="0.25">
      <c r="A116" s="5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5"/>
      <c r="Q116" s="4"/>
      <c r="R116" s="5"/>
      <c r="S116" s="4"/>
      <c r="T116" s="5"/>
      <c r="U116" s="5"/>
      <c r="X116" s="116"/>
      <c r="AN116" s="2"/>
      <c r="AO116" s="2"/>
      <c r="AP116" s="2"/>
      <c r="AQ116" s="2"/>
      <c r="AR116" s="2"/>
      <c r="AS116" s="2"/>
      <c r="AT116" s="2"/>
      <c r="AU116" s="2"/>
      <c r="AV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</row>
    <row r="117" spans="1:98" s="1" customFormat="1" x14ac:dyDescent="0.25">
      <c r="A117" s="5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5"/>
      <c r="Q117" s="4"/>
      <c r="R117" s="5"/>
      <c r="S117" s="4"/>
      <c r="T117" s="5"/>
      <c r="U117" s="5"/>
      <c r="X117" s="116"/>
      <c r="AN117" s="2"/>
      <c r="AO117" s="2"/>
      <c r="AP117" s="2"/>
      <c r="AQ117" s="2"/>
      <c r="AR117" s="2"/>
      <c r="AS117" s="2"/>
      <c r="AT117" s="2"/>
      <c r="AU117" s="2"/>
      <c r="AV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 s="1" customFormat="1" x14ac:dyDescent="0.25">
      <c r="A118" s="5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5"/>
      <c r="Q118" s="4"/>
      <c r="R118" s="5"/>
      <c r="S118" s="4"/>
      <c r="T118" s="5"/>
      <c r="U118" s="5"/>
      <c r="X118" s="116"/>
      <c r="AN118" s="2"/>
      <c r="AO118" s="2"/>
      <c r="AP118" s="2"/>
      <c r="AQ118" s="2"/>
      <c r="AR118" s="2"/>
      <c r="AS118" s="2"/>
      <c r="AT118" s="2"/>
      <c r="AU118" s="2"/>
      <c r="AV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</row>
    <row r="119" spans="1:98" s="1" customFormat="1" x14ac:dyDescent="0.25">
      <c r="A119" s="5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5"/>
      <c r="Q119" s="4"/>
      <c r="R119" s="5"/>
      <c r="S119" s="4"/>
      <c r="T119" s="5"/>
      <c r="U119" s="5"/>
      <c r="X119" s="116"/>
      <c r="AN119" s="2"/>
      <c r="AO119" s="2"/>
      <c r="AP119" s="2"/>
      <c r="AQ119" s="2"/>
      <c r="AR119" s="2"/>
      <c r="AS119" s="2"/>
      <c r="AT119" s="2"/>
      <c r="AU119" s="2"/>
      <c r="AV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</row>
    <row r="120" spans="1:98" s="1" customFormat="1" x14ac:dyDescent="0.25">
      <c r="A120" s="5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5"/>
      <c r="Q120" s="4"/>
      <c r="R120" s="5"/>
      <c r="S120" s="4"/>
      <c r="T120" s="5"/>
      <c r="U120" s="5"/>
      <c r="X120" s="116"/>
      <c r="AN120" s="2"/>
      <c r="AO120" s="2"/>
      <c r="AP120" s="2"/>
      <c r="AQ120" s="2"/>
      <c r="AR120" s="2"/>
      <c r="AS120" s="2"/>
      <c r="AT120" s="2"/>
      <c r="AU120" s="2"/>
      <c r="AV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</row>
    <row r="121" spans="1:98" s="1" customFormat="1" x14ac:dyDescent="0.25">
      <c r="A121" s="5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5"/>
      <c r="Q121" s="4"/>
      <c r="R121" s="5"/>
      <c r="S121" s="4"/>
      <c r="T121" s="5"/>
      <c r="U121" s="5"/>
      <c r="X121" s="116"/>
      <c r="AN121" s="2"/>
      <c r="AO121" s="2"/>
      <c r="AP121" s="2"/>
      <c r="AQ121" s="2"/>
      <c r="AR121" s="2"/>
      <c r="AS121" s="2"/>
      <c r="AT121" s="2"/>
      <c r="AU121" s="2"/>
      <c r="AV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 s="1" customFormat="1" x14ac:dyDescent="0.25">
      <c r="A122" s="5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5"/>
      <c r="Q122" s="4"/>
      <c r="R122" s="5"/>
      <c r="S122" s="4"/>
      <c r="T122" s="5"/>
      <c r="U122" s="5"/>
      <c r="X122" s="116"/>
      <c r="AN122" s="2"/>
      <c r="AO122" s="2"/>
      <c r="AP122" s="2"/>
      <c r="AQ122" s="2"/>
      <c r="AR122" s="2"/>
      <c r="AS122" s="2"/>
      <c r="AT122" s="2"/>
      <c r="AU122" s="2"/>
      <c r="AV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</row>
    <row r="123" spans="1:98" s="1" customFormat="1" x14ac:dyDescent="0.25">
      <c r="A123" s="5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5"/>
      <c r="Q123" s="4"/>
      <c r="R123" s="5"/>
      <c r="S123" s="4"/>
      <c r="T123" s="5"/>
      <c r="U123" s="5"/>
      <c r="X123" s="116"/>
      <c r="AN123" s="2"/>
      <c r="AO123" s="2"/>
      <c r="AP123" s="2"/>
      <c r="AQ123" s="2"/>
      <c r="AR123" s="2"/>
      <c r="AS123" s="2"/>
      <c r="AT123" s="2"/>
      <c r="AU123" s="2"/>
      <c r="AV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</row>
    <row r="124" spans="1:98" s="1" customFormat="1" x14ac:dyDescent="0.25">
      <c r="A124" s="5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5"/>
      <c r="Q124" s="4"/>
      <c r="R124" s="5"/>
      <c r="S124" s="4"/>
      <c r="T124" s="5"/>
      <c r="U124" s="5"/>
      <c r="X124" s="116"/>
      <c r="AN124" s="2"/>
      <c r="AO124" s="2"/>
      <c r="AP124" s="2"/>
      <c r="AQ124" s="2"/>
      <c r="AR124" s="2"/>
      <c r="AS124" s="2"/>
      <c r="AT124" s="2"/>
      <c r="AU124" s="2"/>
      <c r="AV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</row>
    <row r="125" spans="1:98" s="1" customFormat="1" x14ac:dyDescent="0.25">
      <c r="A125" s="5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5"/>
      <c r="Q125" s="4"/>
      <c r="R125" s="5"/>
      <c r="S125" s="4"/>
      <c r="T125" s="5"/>
      <c r="U125" s="5"/>
      <c r="X125" s="116"/>
      <c r="AN125" s="2"/>
      <c r="AO125" s="2"/>
      <c r="AP125" s="2"/>
      <c r="AQ125" s="2"/>
      <c r="AR125" s="2"/>
      <c r="AS125" s="2"/>
      <c r="AT125" s="2"/>
      <c r="AU125" s="2"/>
      <c r="AV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</row>
    <row r="126" spans="1:98" s="1" customFormat="1" x14ac:dyDescent="0.25">
      <c r="A126" s="5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5"/>
      <c r="Q126" s="4"/>
      <c r="R126" s="5"/>
      <c r="S126" s="4"/>
      <c r="T126" s="5"/>
      <c r="U126" s="5"/>
      <c r="X126" s="116"/>
      <c r="AN126" s="2"/>
      <c r="AO126" s="2"/>
      <c r="AP126" s="2"/>
      <c r="AQ126" s="2"/>
      <c r="AR126" s="2"/>
      <c r="AS126" s="2"/>
      <c r="AT126" s="2"/>
      <c r="AU126" s="2"/>
      <c r="AV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</row>
    <row r="127" spans="1:98" s="1" customFormat="1" x14ac:dyDescent="0.25">
      <c r="A127" s="5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5"/>
      <c r="Q127" s="4"/>
      <c r="R127" s="5"/>
      <c r="S127" s="4"/>
      <c r="T127" s="5"/>
      <c r="U127" s="5"/>
      <c r="X127" s="116"/>
      <c r="AN127" s="2"/>
      <c r="AO127" s="2"/>
      <c r="AP127" s="2"/>
      <c r="AQ127" s="2"/>
      <c r="AR127" s="2"/>
      <c r="AS127" s="2"/>
      <c r="AT127" s="2"/>
      <c r="AU127" s="2"/>
      <c r="AV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</row>
    <row r="128" spans="1:98" s="1" customFormat="1" x14ac:dyDescent="0.25">
      <c r="A128" s="5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5"/>
      <c r="Q128" s="4"/>
      <c r="R128" s="5"/>
      <c r="S128" s="4"/>
      <c r="T128" s="5"/>
      <c r="U128" s="5"/>
      <c r="X128" s="116"/>
      <c r="AN128" s="2"/>
      <c r="AO128" s="2"/>
      <c r="AP128" s="2"/>
      <c r="AQ128" s="2"/>
      <c r="AR128" s="2"/>
      <c r="AS128" s="2"/>
      <c r="AT128" s="2"/>
      <c r="AU128" s="2"/>
      <c r="AV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</row>
    <row r="129" spans="1:98" s="1" customFormat="1" x14ac:dyDescent="0.25">
      <c r="A129" s="5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5"/>
      <c r="Q129" s="4"/>
      <c r="R129" s="5"/>
      <c r="S129" s="4"/>
      <c r="T129" s="5"/>
      <c r="U129" s="5"/>
      <c r="X129" s="116"/>
      <c r="AN129" s="2"/>
      <c r="AO129" s="2"/>
      <c r="AP129" s="2"/>
      <c r="AQ129" s="2"/>
      <c r="AR129" s="2"/>
      <c r="AS129" s="2"/>
      <c r="AT129" s="2"/>
      <c r="AU129" s="2"/>
      <c r="AV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</row>
    <row r="130" spans="1:98" s="1" customFormat="1" x14ac:dyDescent="0.25">
      <c r="A130" s="5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5"/>
      <c r="Q130" s="4"/>
      <c r="R130" s="5"/>
      <c r="S130" s="4"/>
      <c r="T130" s="5"/>
      <c r="U130" s="5"/>
      <c r="X130" s="116"/>
      <c r="AN130" s="2"/>
      <c r="AO130" s="2"/>
      <c r="AP130" s="2"/>
      <c r="AQ130" s="2"/>
      <c r="AR130" s="2"/>
      <c r="AS130" s="2"/>
      <c r="AT130" s="2"/>
      <c r="AU130" s="2"/>
      <c r="AV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</row>
    <row r="131" spans="1:98" s="1" customFormat="1" x14ac:dyDescent="0.25">
      <c r="A131" s="5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5"/>
      <c r="Q131" s="4"/>
      <c r="R131" s="5"/>
      <c r="S131" s="4"/>
      <c r="T131" s="5"/>
      <c r="U131" s="5"/>
      <c r="X131" s="116"/>
      <c r="AN131" s="2"/>
      <c r="AO131" s="2"/>
      <c r="AP131" s="2"/>
      <c r="AQ131" s="2"/>
      <c r="AR131" s="2"/>
      <c r="AS131" s="2"/>
      <c r="AT131" s="2"/>
      <c r="AU131" s="2"/>
      <c r="AV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</row>
    <row r="132" spans="1:98" s="1" customFormat="1" x14ac:dyDescent="0.25">
      <c r="A132" s="5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5"/>
      <c r="Q132" s="4"/>
      <c r="R132" s="5"/>
      <c r="S132" s="4"/>
      <c r="T132" s="5"/>
      <c r="U132" s="5"/>
      <c r="X132" s="116"/>
      <c r="AN132" s="2"/>
      <c r="AO132" s="2"/>
      <c r="AP132" s="2"/>
      <c r="AQ132" s="2"/>
      <c r="AR132" s="2"/>
      <c r="AS132" s="2"/>
      <c r="AT132" s="2"/>
      <c r="AU132" s="2"/>
      <c r="AV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</row>
    <row r="133" spans="1:98" s="1" customFormat="1" x14ac:dyDescent="0.25">
      <c r="A133" s="5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5"/>
      <c r="Q133" s="4"/>
      <c r="R133" s="5"/>
      <c r="S133" s="4"/>
      <c r="T133" s="5"/>
      <c r="U133" s="5"/>
      <c r="X133" s="116"/>
      <c r="AN133" s="2"/>
      <c r="AO133" s="2"/>
      <c r="AP133" s="2"/>
      <c r="AQ133" s="2"/>
      <c r="AR133" s="2"/>
      <c r="AS133" s="2"/>
      <c r="AT133" s="2"/>
      <c r="AU133" s="2"/>
      <c r="AV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</row>
    <row r="134" spans="1:98" s="1" customFormat="1" x14ac:dyDescent="0.25">
      <c r="A134" s="5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5"/>
      <c r="Q134" s="4"/>
      <c r="R134" s="5"/>
      <c r="S134" s="4"/>
      <c r="T134" s="5"/>
      <c r="U134" s="5"/>
      <c r="X134" s="116"/>
      <c r="AN134" s="2"/>
      <c r="AO134" s="2"/>
      <c r="AP134" s="2"/>
      <c r="AQ134" s="2"/>
      <c r="AR134" s="2"/>
      <c r="AS134" s="2"/>
      <c r="AT134" s="2"/>
      <c r="AU134" s="2"/>
      <c r="AV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</row>
    <row r="135" spans="1:98" s="1" customFormat="1" x14ac:dyDescent="0.25">
      <c r="A135" s="5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5"/>
      <c r="Q135" s="4"/>
      <c r="R135" s="5"/>
      <c r="S135" s="4"/>
      <c r="T135" s="5"/>
      <c r="U135" s="5"/>
      <c r="X135" s="116"/>
      <c r="AN135" s="2"/>
      <c r="AO135" s="2"/>
      <c r="AP135" s="2"/>
      <c r="AQ135" s="2"/>
      <c r="AR135" s="2"/>
      <c r="AS135" s="2"/>
      <c r="AT135" s="2"/>
      <c r="AU135" s="2"/>
      <c r="AV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</row>
    <row r="136" spans="1:98" s="1" customFormat="1" x14ac:dyDescent="0.25">
      <c r="A136" s="5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5"/>
      <c r="Q136" s="4"/>
      <c r="R136" s="5"/>
      <c r="S136" s="4"/>
      <c r="T136" s="5"/>
      <c r="U136" s="5"/>
      <c r="X136" s="116"/>
      <c r="AN136" s="2"/>
      <c r="AO136" s="2"/>
      <c r="AP136" s="2"/>
      <c r="AQ136" s="2"/>
      <c r="AR136" s="2"/>
      <c r="AS136" s="2"/>
      <c r="AT136" s="2"/>
      <c r="AU136" s="2"/>
      <c r="AV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</row>
    <row r="137" spans="1:98" s="1" customFormat="1" x14ac:dyDescent="0.25">
      <c r="A137" s="5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5"/>
      <c r="Q137" s="4"/>
      <c r="R137" s="5"/>
      <c r="S137" s="4"/>
      <c r="T137" s="5"/>
      <c r="U137" s="5"/>
      <c r="X137" s="116"/>
      <c r="AN137" s="2"/>
      <c r="AO137" s="2"/>
      <c r="AP137" s="2"/>
      <c r="AQ137" s="2"/>
      <c r="AR137" s="2"/>
      <c r="AS137" s="2"/>
      <c r="AT137" s="2"/>
      <c r="AU137" s="2"/>
      <c r="AV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98" s="1" customFormat="1" x14ac:dyDescent="0.25">
      <c r="A138" s="5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5"/>
      <c r="Q138" s="4"/>
      <c r="R138" s="5"/>
      <c r="S138" s="4"/>
      <c r="T138" s="5"/>
      <c r="U138" s="5"/>
      <c r="X138" s="116"/>
      <c r="AN138" s="2"/>
      <c r="AO138" s="2"/>
      <c r="AP138" s="2"/>
      <c r="AQ138" s="2"/>
      <c r="AR138" s="2"/>
      <c r="AS138" s="2"/>
      <c r="AT138" s="2"/>
      <c r="AU138" s="2"/>
      <c r="AV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98" s="1" customFormat="1" x14ac:dyDescent="0.25">
      <c r="A139" s="5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5"/>
      <c r="Q139" s="4"/>
      <c r="R139" s="5"/>
      <c r="S139" s="4"/>
      <c r="T139" s="5"/>
      <c r="U139" s="5"/>
      <c r="X139" s="116"/>
      <c r="AN139" s="2"/>
      <c r="AO139" s="2"/>
      <c r="AP139" s="2"/>
      <c r="AQ139" s="2"/>
      <c r="AR139" s="2"/>
      <c r="AS139" s="2"/>
      <c r="AT139" s="2"/>
      <c r="AU139" s="2"/>
      <c r="AV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  <row r="140" spans="1:98" s="1" customFormat="1" x14ac:dyDescent="0.25">
      <c r="A140" s="5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5"/>
      <c r="Q140" s="4"/>
      <c r="R140" s="5"/>
      <c r="S140" s="4"/>
      <c r="T140" s="5"/>
      <c r="U140" s="5"/>
      <c r="X140" s="116"/>
      <c r="AN140" s="2"/>
      <c r="AO140" s="2"/>
      <c r="AP140" s="2"/>
      <c r="AQ140" s="2"/>
      <c r="AR140" s="2"/>
      <c r="AS140" s="2"/>
      <c r="AT140" s="2"/>
      <c r="AU140" s="2"/>
      <c r="AV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</row>
    <row r="141" spans="1:98" s="1" customFormat="1" x14ac:dyDescent="0.25">
      <c r="A141" s="5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5"/>
      <c r="Q141" s="4"/>
      <c r="R141" s="5"/>
      <c r="S141" s="4"/>
      <c r="T141" s="5"/>
      <c r="U141" s="5"/>
      <c r="X141" s="116"/>
      <c r="AN141" s="2"/>
      <c r="AO141" s="2"/>
      <c r="AP141" s="2"/>
      <c r="AQ141" s="2"/>
      <c r="AR141" s="2"/>
      <c r="AS141" s="2"/>
      <c r="AT141" s="2"/>
      <c r="AU141" s="2"/>
      <c r="AV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</row>
    <row r="142" spans="1:98" s="1" customFormat="1" x14ac:dyDescent="0.25">
      <c r="A142" s="5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5"/>
      <c r="Q142" s="4"/>
      <c r="R142" s="5"/>
      <c r="S142" s="4"/>
      <c r="T142" s="5"/>
      <c r="U142" s="5"/>
      <c r="X142" s="116"/>
      <c r="AN142" s="2"/>
      <c r="AO142" s="2"/>
      <c r="AP142" s="2"/>
      <c r="AQ142" s="2"/>
      <c r="AR142" s="2"/>
      <c r="AS142" s="2"/>
      <c r="AT142" s="2"/>
      <c r="AU142" s="2"/>
      <c r="AV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</row>
    <row r="143" spans="1:98" s="1" customFormat="1" x14ac:dyDescent="0.25">
      <c r="A143" s="5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5"/>
      <c r="Q143" s="4"/>
      <c r="R143" s="5"/>
      <c r="S143" s="4"/>
      <c r="T143" s="5"/>
      <c r="U143" s="5"/>
      <c r="X143" s="116"/>
      <c r="AN143" s="2"/>
      <c r="AO143" s="2"/>
      <c r="AP143" s="2"/>
      <c r="AQ143" s="2"/>
      <c r="AR143" s="2"/>
      <c r="AS143" s="2"/>
      <c r="AT143" s="2"/>
      <c r="AU143" s="2"/>
      <c r="AV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</row>
    <row r="144" spans="1:98" s="1" customFormat="1" x14ac:dyDescent="0.25">
      <c r="A144" s="5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5"/>
      <c r="Q144" s="4"/>
      <c r="R144" s="5"/>
      <c r="S144" s="4"/>
      <c r="T144" s="5"/>
      <c r="U144" s="5"/>
      <c r="X144" s="116"/>
      <c r="AN144" s="2"/>
      <c r="AO144" s="2"/>
      <c r="AP144" s="2"/>
      <c r="AQ144" s="2"/>
      <c r="AR144" s="2"/>
      <c r="AS144" s="2"/>
      <c r="AT144" s="2"/>
      <c r="AU144" s="2"/>
      <c r="AV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</row>
    <row r="145" spans="1:98" s="1" customFormat="1" x14ac:dyDescent="0.25">
      <c r="A145" s="5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5"/>
      <c r="Q145" s="4"/>
      <c r="R145" s="5"/>
      <c r="S145" s="4"/>
      <c r="T145" s="5"/>
      <c r="U145" s="5"/>
      <c r="X145" s="116"/>
      <c r="AN145" s="2"/>
      <c r="AO145" s="2"/>
      <c r="AP145" s="2"/>
      <c r="AQ145" s="2"/>
      <c r="AR145" s="2"/>
      <c r="AS145" s="2"/>
      <c r="AT145" s="2"/>
      <c r="AU145" s="2"/>
      <c r="AV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</row>
    <row r="146" spans="1:98" s="1" customFormat="1" x14ac:dyDescent="0.25">
      <c r="A146" s="5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5"/>
      <c r="Q146" s="4"/>
      <c r="R146" s="5"/>
      <c r="S146" s="4"/>
      <c r="T146" s="5"/>
      <c r="U146" s="5"/>
      <c r="X146" s="116"/>
      <c r="AN146" s="2"/>
      <c r="AO146" s="2"/>
      <c r="AP146" s="2"/>
      <c r="AQ146" s="2"/>
      <c r="AR146" s="2"/>
      <c r="AS146" s="2"/>
      <c r="AT146" s="2"/>
      <c r="AU146" s="2"/>
      <c r="AV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</row>
    <row r="147" spans="1:98" s="1" customFormat="1" x14ac:dyDescent="0.25">
      <c r="A147" s="5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5"/>
      <c r="Q147" s="4"/>
      <c r="R147" s="5"/>
      <c r="S147" s="4"/>
      <c r="T147" s="5"/>
      <c r="U147" s="5"/>
      <c r="X147" s="116"/>
      <c r="AN147" s="2"/>
      <c r="AO147" s="2"/>
      <c r="AP147" s="2"/>
      <c r="AQ147" s="2"/>
      <c r="AR147" s="2"/>
      <c r="AS147" s="2"/>
      <c r="AT147" s="2"/>
      <c r="AU147" s="2"/>
      <c r="AV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</row>
    <row r="148" spans="1:98" s="1" customFormat="1" x14ac:dyDescent="0.25">
      <c r="A148" s="5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5"/>
      <c r="Q148" s="4"/>
      <c r="R148" s="5"/>
      <c r="S148" s="4"/>
      <c r="T148" s="5"/>
      <c r="U148" s="5"/>
      <c r="X148" s="116"/>
      <c r="AN148" s="2"/>
      <c r="AO148" s="2"/>
      <c r="AP148" s="2"/>
      <c r="AQ148" s="2"/>
      <c r="AR148" s="2"/>
      <c r="AS148" s="2"/>
      <c r="AT148" s="2"/>
      <c r="AU148" s="2"/>
      <c r="AV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</row>
    <row r="149" spans="1:98" s="1" customFormat="1" x14ac:dyDescent="0.25">
      <c r="A149" s="5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5"/>
      <c r="Q149" s="4"/>
      <c r="R149" s="5"/>
      <c r="S149" s="4"/>
      <c r="T149" s="5"/>
      <c r="U149" s="5"/>
      <c r="X149" s="116"/>
      <c r="AN149" s="2"/>
      <c r="AO149" s="2"/>
      <c r="AP149" s="2"/>
      <c r="AQ149" s="2"/>
      <c r="AR149" s="2"/>
      <c r="AS149" s="2"/>
      <c r="AT149" s="2"/>
      <c r="AU149" s="2"/>
      <c r="AV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</row>
    <row r="150" spans="1:98" s="1" customFormat="1" x14ac:dyDescent="0.25">
      <c r="A150" s="5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5"/>
      <c r="Q150" s="4"/>
      <c r="R150" s="5"/>
      <c r="S150" s="4"/>
      <c r="T150" s="5"/>
      <c r="U150" s="5"/>
      <c r="X150" s="116"/>
      <c r="AN150" s="2"/>
      <c r="AO150" s="2"/>
      <c r="AP150" s="2"/>
      <c r="AQ150" s="2"/>
      <c r="AR150" s="2"/>
      <c r="AS150" s="2"/>
      <c r="AT150" s="2"/>
      <c r="AU150" s="2"/>
      <c r="AV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</row>
    <row r="151" spans="1:98" s="1" customFormat="1" x14ac:dyDescent="0.25">
      <c r="A151" s="5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5"/>
      <c r="Q151" s="4"/>
      <c r="R151" s="5"/>
      <c r="S151" s="4"/>
      <c r="T151" s="5"/>
      <c r="U151" s="5"/>
      <c r="X151" s="116"/>
      <c r="AN151" s="2"/>
      <c r="AO151" s="2"/>
      <c r="AP151" s="2"/>
      <c r="AQ151" s="2"/>
      <c r="AR151" s="2"/>
      <c r="AS151" s="2"/>
      <c r="AT151" s="2"/>
      <c r="AU151" s="2"/>
      <c r="AV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</row>
    <row r="152" spans="1:98" s="1" customFormat="1" x14ac:dyDescent="0.25">
      <c r="A152" s="5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5"/>
      <c r="Q152" s="4"/>
      <c r="R152" s="5"/>
      <c r="S152" s="4"/>
      <c r="T152" s="5"/>
      <c r="U152" s="5"/>
      <c r="X152" s="116"/>
      <c r="AN152" s="2"/>
      <c r="AO152" s="2"/>
      <c r="AP152" s="2"/>
      <c r="AQ152" s="2"/>
      <c r="AR152" s="2"/>
      <c r="AS152" s="2"/>
      <c r="AT152" s="2"/>
      <c r="AU152" s="2"/>
      <c r="AV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</row>
    <row r="153" spans="1:98" s="1" customFormat="1" x14ac:dyDescent="0.25">
      <c r="A153" s="5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5"/>
      <c r="Q153" s="4"/>
      <c r="R153" s="5"/>
      <c r="S153" s="4"/>
      <c r="T153" s="5"/>
      <c r="U153" s="5"/>
      <c r="X153" s="116"/>
      <c r="AN153" s="2"/>
      <c r="AO153" s="2"/>
      <c r="AP153" s="2"/>
      <c r="AQ153" s="2"/>
      <c r="AR153" s="2"/>
      <c r="AS153" s="2"/>
      <c r="AT153" s="2"/>
      <c r="AU153" s="2"/>
      <c r="AV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</row>
    <row r="154" spans="1:98" s="1" customFormat="1" x14ac:dyDescent="0.25">
      <c r="A154" s="5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5"/>
      <c r="Q154" s="4"/>
      <c r="R154" s="5"/>
      <c r="S154" s="4"/>
      <c r="T154" s="5"/>
      <c r="U154" s="5"/>
      <c r="X154" s="116"/>
      <c r="AN154" s="2"/>
      <c r="AO154" s="2"/>
      <c r="AP154" s="2"/>
      <c r="AQ154" s="2"/>
      <c r="AR154" s="2"/>
      <c r="AS154" s="2"/>
      <c r="AT154" s="2"/>
      <c r="AU154" s="2"/>
      <c r="AV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</row>
    <row r="155" spans="1:98" s="1" customFormat="1" x14ac:dyDescent="0.25">
      <c r="A155" s="5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5"/>
      <c r="Q155" s="4"/>
      <c r="R155" s="5"/>
      <c r="S155" s="4"/>
      <c r="T155" s="5"/>
      <c r="U155" s="5"/>
      <c r="X155" s="116"/>
      <c r="AN155" s="2"/>
      <c r="AO155" s="2"/>
      <c r="AP155" s="2"/>
      <c r="AQ155" s="2"/>
      <c r="AR155" s="2"/>
      <c r="AS155" s="2"/>
      <c r="AT155" s="2"/>
      <c r="AU155" s="2"/>
      <c r="AV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</row>
    <row r="156" spans="1:98" s="1" customFormat="1" x14ac:dyDescent="0.25">
      <c r="A156" s="5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5"/>
      <c r="Q156" s="4"/>
      <c r="R156" s="5"/>
      <c r="S156" s="4"/>
      <c r="T156" s="5"/>
      <c r="U156" s="5"/>
      <c r="X156" s="116"/>
      <c r="AN156" s="2"/>
      <c r="AO156" s="2"/>
      <c r="AP156" s="2"/>
      <c r="AQ156" s="2"/>
      <c r="AR156" s="2"/>
      <c r="AS156" s="2"/>
      <c r="AT156" s="2"/>
      <c r="AU156" s="2"/>
      <c r="AV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</row>
    <row r="157" spans="1:98" s="1" customFormat="1" x14ac:dyDescent="0.25">
      <c r="A157" s="5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5"/>
      <c r="Q157" s="4"/>
      <c r="R157" s="5"/>
      <c r="S157" s="4"/>
      <c r="T157" s="5"/>
      <c r="U157" s="5"/>
      <c r="X157" s="116"/>
      <c r="AN157" s="2"/>
      <c r="AO157" s="2"/>
      <c r="AP157" s="2"/>
      <c r="AQ157" s="2"/>
      <c r="AR157" s="2"/>
      <c r="AS157" s="2"/>
      <c r="AT157" s="2"/>
      <c r="AU157" s="2"/>
      <c r="AV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</row>
    <row r="158" spans="1:98" s="1" customFormat="1" x14ac:dyDescent="0.25">
      <c r="A158" s="5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5"/>
      <c r="Q158" s="4"/>
      <c r="R158" s="5"/>
      <c r="S158" s="4"/>
      <c r="T158" s="5"/>
      <c r="U158" s="5"/>
      <c r="X158" s="116"/>
      <c r="AN158" s="2"/>
      <c r="AO158" s="2"/>
      <c r="AP158" s="2"/>
      <c r="AQ158" s="2"/>
      <c r="AR158" s="2"/>
      <c r="AS158" s="2"/>
      <c r="AT158" s="2"/>
      <c r="AU158" s="2"/>
      <c r="AV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</row>
    <row r="159" spans="1:98" s="1" customFormat="1" x14ac:dyDescent="0.25">
      <c r="A159" s="5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5"/>
      <c r="Q159" s="4"/>
      <c r="R159" s="5"/>
      <c r="S159" s="4"/>
      <c r="T159" s="5"/>
      <c r="U159" s="5"/>
      <c r="X159" s="116"/>
      <c r="AN159" s="2"/>
      <c r="AO159" s="2"/>
      <c r="AP159" s="2"/>
      <c r="AQ159" s="2"/>
      <c r="AR159" s="2"/>
      <c r="AS159" s="2"/>
      <c r="AT159" s="2"/>
      <c r="AU159" s="2"/>
      <c r="AV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</row>
    <row r="160" spans="1:98" s="1" customFormat="1" x14ac:dyDescent="0.25">
      <c r="A160" s="5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5"/>
      <c r="Q160" s="4"/>
      <c r="R160" s="5"/>
      <c r="S160" s="4"/>
      <c r="T160" s="5"/>
      <c r="U160" s="5"/>
      <c r="X160" s="116"/>
      <c r="AN160" s="2"/>
      <c r="AO160" s="2"/>
      <c r="AP160" s="2"/>
      <c r="AQ160" s="2"/>
      <c r="AR160" s="2"/>
      <c r="AS160" s="2"/>
      <c r="AT160" s="2"/>
      <c r="AU160" s="2"/>
      <c r="AV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</row>
    <row r="161" spans="1:98" s="1" customFormat="1" x14ac:dyDescent="0.25">
      <c r="A161" s="5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5"/>
      <c r="Q161" s="4"/>
      <c r="R161" s="5"/>
      <c r="S161" s="4"/>
      <c r="T161" s="5"/>
      <c r="U161" s="5"/>
      <c r="X161" s="116"/>
      <c r="AN161" s="2"/>
      <c r="AO161" s="2"/>
      <c r="AP161" s="2"/>
      <c r="AQ161" s="2"/>
      <c r="AR161" s="2"/>
      <c r="AS161" s="2"/>
      <c r="AT161" s="2"/>
      <c r="AU161" s="2"/>
      <c r="AV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</row>
    <row r="162" spans="1:98" s="1" customFormat="1" x14ac:dyDescent="0.25">
      <c r="A162" s="5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5"/>
      <c r="Q162" s="4"/>
      <c r="R162" s="5"/>
      <c r="S162" s="4"/>
      <c r="T162" s="5"/>
      <c r="U162" s="5"/>
      <c r="X162" s="116"/>
      <c r="AN162" s="2"/>
      <c r="AO162" s="2"/>
      <c r="AP162" s="2"/>
      <c r="AQ162" s="2"/>
      <c r="AR162" s="2"/>
      <c r="AS162" s="2"/>
      <c r="AT162" s="2"/>
      <c r="AU162" s="2"/>
      <c r="AV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</row>
    <row r="163" spans="1:98" s="1" customFormat="1" x14ac:dyDescent="0.25">
      <c r="A163" s="5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5"/>
      <c r="Q163" s="4"/>
      <c r="R163" s="5"/>
      <c r="S163" s="4"/>
      <c r="T163" s="5"/>
      <c r="U163" s="5"/>
      <c r="X163" s="116"/>
      <c r="AN163" s="2"/>
      <c r="AO163" s="2"/>
      <c r="AP163" s="2"/>
      <c r="AQ163" s="2"/>
      <c r="AR163" s="2"/>
      <c r="AS163" s="2"/>
      <c r="AT163" s="2"/>
      <c r="AU163" s="2"/>
      <c r="AV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</row>
    <row r="164" spans="1:98" s="1" customFormat="1" x14ac:dyDescent="0.25">
      <c r="A164" s="5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5"/>
      <c r="Q164" s="4"/>
      <c r="R164" s="5"/>
      <c r="S164" s="4"/>
      <c r="T164" s="5"/>
      <c r="U164" s="5"/>
      <c r="X164" s="116"/>
      <c r="AN164" s="2"/>
      <c r="AO164" s="2"/>
      <c r="AP164" s="2"/>
      <c r="AQ164" s="2"/>
      <c r="AR164" s="2"/>
      <c r="AS164" s="2"/>
      <c r="AT164" s="2"/>
      <c r="AU164" s="2"/>
      <c r="AV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</row>
    <row r="165" spans="1:98" s="1" customFormat="1" x14ac:dyDescent="0.25">
      <c r="A165" s="5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5"/>
      <c r="Q165" s="4"/>
      <c r="R165" s="5"/>
      <c r="S165" s="4"/>
      <c r="T165" s="5"/>
      <c r="U165" s="5"/>
      <c r="X165" s="116"/>
      <c r="AN165" s="2"/>
      <c r="AO165" s="2"/>
      <c r="AP165" s="2"/>
      <c r="AQ165" s="2"/>
      <c r="AR165" s="2"/>
      <c r="AS165" s="2"/>
      <c r="AT165" s="2"/>
      <c r="AU165" s="2"/>
      <c r="AV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</row>
    <row r="166" spans="1:98" s="1" customFormat="1" x14ac:dyDescent="0.25">
      <c r="A166" s="5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5"/>
      <c r="Q166" s="4"/>
      <c r="R166" s="5"/>
      <c r="S166" s="4"/>
      <c r="T166" s="5"/>
      <c r="U166" s="5"/>
      <c r="X166" s="116"/>
      <c r="AN166" s="2"/>
      <c r="AO166" s="2"/>
      <c r="AP166" s="2"/>
      <c r="AQ166" s="2"/>
      <c r="AR166" s="2"/>
      <c r="AS166" s="2"/>
      <c r="AT166" s="2"/>
      <c r="AU166" s="2"/>
      <c r="AV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</row>
    <row r="167" spans="1:98" s="1" customFormat="1" x14ac:dyDescent="0.25">
      <c r="A167" s="5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5"/>
      <c r="Q167" s="4"/>
      <c r="R167" s="5"/>
      <c r="S167" s="4"/>
      <c r="T167" s="5"/>
      <c r="U167" s="5"/>
      <c r="X167" s="116"/>
      <c r="AN167" s="2"/>
      <c r="AO167" s="2"/>
      <c r="AP167" s="2"/>
      <c r="AQ167" s="2"/>
      <c r="AR167" s="2"/>
      <c r="AS167" s="2"/>
      <c r="AT167" s="2"/>
      <c r="AU167" s="2"/>
      <c r="AV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</row>
    <row r="168" spans="1:98" s="1" customFormat="1" x14ac:dyDescent="0.25">
      <c r="A168" s="5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5"/>
      <c r="Q168" s="4"/>
      <c r="R168" s="5"/>
      <c r="S168" s="4"/>
      <c r="T168" s="5"/>
      <c r="U168" s="5"/>
      <c r="X168" s="116"/>
      <c r="AN168" s="2"/>
      <c r="AO168" s="2"/>
      <c r="AP168" s="2"/>
      <c r="AQ168" s="2"/>
      <c r="AR168" s="2"/>
      <c r="AS168" s="2"/>
      <c r="AT168" s="2"/>
      <c r="AU168" s="2"/>
      <c r="AV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</row>
    <row r="169" spans="1:98" s="1" customFormat="1" x14ac:dyDescent="0.25">
      <c r="A169" s="5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5"/>
      <c r="Q169" s="4"/>
      <c r="R169" s="5"/>
      <c r="S169" s="4"/>
      <c r="T169" s="5"/>
      <c r="U169" s="5"/>
      <c r="X169" s="116"/>
      <c r="AN169" s="2"/>
      <c r="AO169" s="2"/>
      <c r="AP169" s="2"/>
      <c r="AQ169" s="2"/>
      <c r="AR169" s="2"/>
      <c r="AS169" s="2"/>
      <c r="AT169" s="2"/>
      <c r="AU169" s="2"/>
      <c r="AV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</row>
    <row r="170" spans="1:98" s="1" customFormat="1" x14ac:dyDescent="0.25">
      <c r="A170" s="5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5"/>
      <c r="Q170" s="4"/>
      <c r="R170" s="5"/>
      <c r="S170" s="4"/>
      <c r="T170" s="5"/>
      <c r="U170" s="5"/>
      <c r="X170" s="116"/>
      <c r="AN170" s="2"/>
      <c r="AO170" s="2"/>
      <c r="AP170" s="2"/>
      <c r="AQ170" s="2"/>
      <c r="AR170" s="2"/>
      <c r="AS170" s="2"/>
      <c r="AT170" s="2"/>
      <c r="AU170" s="2"/>
      <c r="AV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</row>
    <row r="171" spans="1:98" s="1" customFormat="1" x14ac:dyDescent="0.25">
      <c r="A171" s="5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5"/>
      <c r="Q171" s="4"/>
      <c r="R171" s="5"/>
      <c r="S171" s="4"/>
      <c r="T171" s="5"/>
      <c r="U171" s="5"/>
      <c r="X171" s="116"/>
      <c r="AN171" s="2"/>
      <c r="AO171" s="2"/>
      <c r="AP171" s="2"/>
      <c r="AQ171" s="2"/>
      <c r="AR171" s="2"/>
      <c r="AS171" s="2"/>
      <c r="AT171" s="2"/>
      <c r="AU171" s="2"/>
      <c r="AV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</row>
    <row r="172" spans="1:98" s="1" customFormat="1" x14ac:dyDescent="0.25">
      <c r="A172" s="5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5"/>
      <c r="Q172" s="4"/>
      <c r="R172" s="5"/>
      <c r="S172" s="4"/>
      <c r="T172" s="5"/>
      <c r="U172" s="5"/>
      <c r="X172" s="116"/>
      <c r="AN172" s="2"/>
      <c r="AO172" s="2"/>
      <c r="AP172" s="2"/>
      <c r="AQ172" s="2"/>
      <c r="AR172" s="2"/>
      <c r="AS172" s="2"/>
      <c r="AT172" s="2"/>
      <c r="AU172" s="2"/>
      <c r="AV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</row>
    <row r="173" spans="1:98" s="1" customFormat="1" x14ac:dyDescent="0.25">
      <c r="A173" s="5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5"/>
      <c r="Q173" s="4"/>
      <c r="R173" s="5"/>
      <c r="S173" s="4"/>
      <c r="T173" s="5"/>
      <c r="U173" s="5"/>
      <c r="X173" s="116"/>
      <c r="AN173" s="2"/>
      <c r="AO173" s="2"/>
      <c r="AP173" s="2"/>
      <c r="AQ173" s="2"/>
      <c r="AR173" s="2"/>
      <c r="AS173" s="2"/>
      <c r="AT173" s="2"/>
      <c r="AU173" s="2"/>
      <c r="AV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</row>
    <row r="174" spans="1:98" s="1" customFormat="1" x14ac:dyDescent="0.25">
      <c r="A174" s="5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5"/>
      <c r="Q174" s="4"/>
      <c r="R174" s="5"/>
      <c r="S174" s="4"/>
      <c r="T174" s="5"/>
      <c r="U174" s="5"/>
      <c r="X174" s="116"/>
      <c r="AN174" s="2"/>
      <c r="AO174" s="2"/>
      <c r="AP174" s="2"/>
      <c r="AQ174" s="2"/>
      <c r="AR174" s="2"/>
      <c r="AS174" s="2"/>
      <c r="AT174" s="2"/>
      <c r="AU174" s="2"/>
      <c r="AV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</row>
    <row r="175" spans="1:98" s="1" customFormat="1" x14ac:dyDescent="0.25">
      <c r="A175" s="5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5"/>
      <c r="Q175" s="4"/>
      <c r="R175" s="5"/>
      <c r="S175" s="4"/>
      <c r="T175" s="5"/>
      <c r="U175" s="5"/>
      <c r="X175" s="116"/>
      <c r="AN175" s="2"/>
      <c r="AO175" s="2"/>
      <c r="AP175" s="2"/>
      <c r="AQ175" s="2"/>
      <c r="AR175" s="2"/>
      <c r="AS175" s="2"/>
      <c r="AT175" s="2"/>
      <c r="AU175" s="2"/>
      <c r="AV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</row>
    <row r="176" spans="1:98" s="1" customFormat="1" x14ac:dyDescent="0.25">
      <c r="A176" s="5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5"/>
      <c r="Q176" s="4"/>
      <c r="R176" s="5"/>
      <c r="S176" s="4"/>
      <c r="T176" s="5"/>
      <c r="U176" s="5"/>
      <c r="X176" s="116"/>
      <c r="AN176" s="2"/>
      <c r="AO176" s="2"/>
      <c r="AP176" s="2"/>
      <c r="AQ176" s="2"/>
      <c r="AR176" s="2"/>
      <c r="AS176" s="2"/>
      <c r="AT176" s="2"/>
      <c r="AU176" s="2"/>
      <c r="AV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</row>
    <row r="177" spans="1:98" s="1" customFormat="1" x14ac:dyDescent="0.25">
      <c r="A177" s="5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5"/>
      <c r="Q177" s="4"/>
      <c r="R177" s="5"/>
      <c r="S177" s="4"/>
      <c r="T177" s="5"/>
      <c r="U177" s="5"/>
      <c r="X177" s="116"/>
      <c r="AN177" s="2"/>
      <c r="AO177" s="2"/>
      <c r="AP177" s="2"/>
      <c r="AQ177" s="2"/>
      <c r="AR177" s="2"/>
      <c r="AS177" s="2"/>
      <c r="AT177" s="2"/>
      <c r="AU177" s="2"/>
      <c r="AV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:98" s="1" customFormat="1" x14ac:dyDescent="0.25">
      <c r="A178" s="5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5"/>
      <c r="Q178" s="4"/>
      <c r="R178" s="5"/>
      <c r="S178" s="4"/>
      <c r="T178" s="5"/>
      <c r="U178" s="5"/>
      <c r="X178" s="116"/>
      <c r="AN178" s="2"/>
      <c r="AO178" s="2"/>
      <c r="AP178" s="2"/>
      <c r="AQ178" s="2"/>
      <c r="AR178" s="2"/>
      <c r="AS178" s="2"/>
      <c r="AT178" s="2"/>
      <c r="AU178" s="2"/>
      <c r="AV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</row>
    <row r="179" spans="1:98" s="1" customFormat="1" x14ac:dyDescent="0.25">
      <c r="A179" s="5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5"/>
      <c r="Q179" s="4"/>
      <c r="R179" s="5"/>
      <c r="S179" s="4"/>
      <c r="T179" s="5"/>
      <c r="U179" s="5"/>
      <c r="X179" s="116"/>
      <c r="AN179" s="2"/>
      <c r="AO179" s="2"/>
      <c r="AP179" s="2"/>
      <c r="AQ179" s="2"/>
      <c r="AR179" s="2"/>
      <c r="AS179" s="2"/>
      <c r="AT179" s="2"/>
      <c r="AU179" s="2"/>
      <c r="AV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</row>
    <row r="180" spans="1:98" s="1" customFormat="1" x14ac:dyDescent="0.25">
      <c r="A180" s="5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5"/>
      <c r="Q180" s="4"/>
      <c r="R180" s="5"/>
      <c r="S180" s="4"/>
      <c r="T180" s="5"/>
      <c r="U180" s="5"/>
      <c r="X180" s="116"/>
      <c r="AN180" s="2"/>
      <c r="AO180" s="2"/>
      <c r="AP180" s="2"/>
      <c r="AQ180" s="2"/>
      <c r="AR180" s="2"/>
      <c r="AS180" s="2"/>
      <c r="AT180" s="2"/>
      <c r="AU180" s="2"/>
      <c r="AV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</row>
    <row r="181" spans="1:98" s="1" customFormat="1" x14ac:dyDescent="0.25">
      <c r="A181" s="5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5"/>
      <c r="Q181" s="4"/>
      <c r="R181" s="5"/>
      <c r="S181" s="4"/>
      <c r="T181" s="5"/>
      <c r="U181" s="5"/>
      <c r="X181" s="116"/>
      <c r="AN181" s="2"/>
      <c r="AO181" s="2"/>
      <c r="AP181" s="2"/>
      <c r="AQ181" s="2"/>
      <c r="AR181" s="2"/>
      <c r="AS181" s="2"/>
      <c r="AT181" s="2"/>
      <c r="AU181" s="2"/>
      <c r="AV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</row>
    <row r="182" spans="1:98" s="1" customFormat="1" x14ac:dyDescent="0.25">
      <c r="A182" s="5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5"/>
      <c r="Q182" s="4"/>
      <c r="R182" s="5"/>
      <c r="S182" s="4"/>
      <c r="T182" s="5"/>
      <c r="U182" s="5"/>
      <c r="X182" s="116"/>
      <c r="AN182" s="2"/>
      <c r="AO182" s="2"/>
      <c r="AP182" s="2"/>
      <c r="AQ182" s="2"/>
      <c r="AR182" s="2"/>
      <c r="AS182" s="2"/>
      <c r="AT182" s="2"/>
      <c r="AU182" s="2"/>
      <c r="AV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</row>
    <row r="183" spans="1:98" s="1" customFormat="1" x14ac:dyDescent="0.25">
      <c r="A183" s="5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5"/>
      <c r="Q183" s="4"/>
      <c r="R183" s="5"/>
      <c r="S183" s="4"/>
      <c r="T183" s="5"/>
      <c r="U183" s="5"/>
      <c r="X183" s="116"/>
      <c r="AN183" s="2"/>
      <c r="AO183" s="2"/>
      <c r="AP183" s="2"/>
      <c r="AQ183" s="2"/>
      <c r="AR183" s="2"/>
      <c r="AS183" s="2"/>
      <c r="AT183" s="2"/>
      <c r="AU183" s="2"/>
      <c r="AV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</row>
    <row r="184" spans="1:98" s="1" customFormat="1" x14ac:dyDescent="0.25">
      <c r="A184" s="5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5"/>
      <c r="Q184" s="4"/>
      <c r="R184" s="5"/>
      <c r="S184" s="4"/>
      <c r="T184" s="5"/>
      <c r="U184" s="5"/>
      <c r="X184" s="116"/>
      <c r="AN184" s="2"/>
      <c r="AO184" s="2"/>
      <c r="AP184" s="2"/>
      <c r="AQ184" s="2"/>
      <c r="AR184" s="2"/>
      <c r="AS184" s="2"/>
      <c r="AT184" s="2"/>
      <c r="AU184" s="2"/>
      <c r="AV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</row>
    <row r="185" spans="1:98" s="1" customFormat="1" x14ac:dyDescent="0.25">
      <c r="A185" s="5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5"/>
      <c r="Q185" s="4"/>
      <c r="R185" s="5"/>
      <c r="S185" s="4"/>
      <c r="T185" s="5"/>
      <c r="U185" s="5"/>
      <c r="X185" s="116"/>
      <c r="AN185" s="2"/>
      <c r="AO185" s="2"/>
      <c r="AP185" s="2"/>
      <c r="AQ185" s="2"/>
      <c r="AR185" s="2"/>
      <c r="AS185" s="2"/>
      <c r="AT185" s="2"/>
      <c r="AU185" s="2"/>
      <c r="AV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</row>
    <row r="186" spans="1:98" s="1" customFormat="1" x14ac:dyDescent="0.25">
      <c r="A186" s="5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5"/>
      <c r="Q186" s="4"/>
      <c r="R186" s="5"/>
      <c r="S186" s="4"/>
      <c r="T186" s="5"/>
      <c r="U186" s="5"/>
      <c r="X186" s="116"/>
      <c r="AN186" s="2"/>
      <c r="AO186" s="2"/>
      <c r="AP186" s="2"/>
      <c r="AQ186" s="2"/>
      <c r="AR186" s="2"/>
      <c r="AS186" s="2"/>
      <c r="AT186" s="2"/>
      <c r="AU186" s="2"/>
      <c r="AV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</row>
    <row r="187" spans="1:98" s="1" customFormat="1" x14ac:dyDescent="0.25">
      <c r="A187" s="5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5"/>
      <c r="Q187" s="4"/>
      <c r="R187" s="5"/>
      <c r="S187" s="4"/>
      <c r="T187" s="5"/>
      <c r="U187" s="5"/>
      <c r="X187" s="116"/>
      <c r="AN187" s="2"/>
      <c r="AO187" s="2"/>
      <c r="AP187" s="2"/>
      <c r="AQ187" s="2"/>
      <c r="AR187" s="2"/>
      <c r="AS187" s="2"/>
      <c r="AT187" s="2"/>
      <c r="AU187" s="2"/>
      <c r="AV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</row>
    <row r="188" spans="1:98" s="1" customFormat="1" x14ac:dyDescent="0.25">
      <c r="A188" s="5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5"/>
      <c r="Q188" s="4"/>
      <c r="R188" s="5"/>
      <c r="S188" s="4"/>
      <c r="T188" s="5"/>
      <c r="U188" s="5"/>
      <c r="X188" s="116"/>
      <c r="AN188" s="2"/>
      <c r="AO188" s="2"/>
      <c r="AP188" s="2"/>
      <c r="AQ188" s="2"/>
      <c r="AR188" s="2"/>
      <c r="AS188" s="2"/>
      <c r="AT188" s="2"/>
      <c r="AU188" s="2"/>
      <c r="AV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</row>
    <row r="189" spans="1:98" s="1" customFormat="1" x14ac:dyDescent="0.25">
      <c r="A189" s="5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5"/>
      <c r="Q189" s="4"/>
      <c r="R189" s="5"/>
      <c r="S189" s="4"/>
      <c r="T189" s="5"/>
      <c r="U189" s="5"/>
      <c r="X189" s="116"/>
      <c r="AN189" s="2"/>
      <c r="AO189" s="2"/>
      <c r="AP189" s="2"/>
      <c r="AQ189" s="2"/>
      <c r="AR189" s="2"/>
      <c r="AS189" s="2"/>
      <c r="AT189" s="2"/>
      <c r="AU189" s="2"/>
      <c r="AV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</row>
    <row r="190" spans="1:98" s="1" customFormat="1" x14ac:dyDescent="0.25">
      <c r="A190" s="5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5"/>
      <c r="Q190" s="4"/>
      <c r="R190" s="5"/>
      <c r="S190" s="4"/>
      <c r="T190" s="5"/>
      <c r="U190" s="5"/>
      <c r="X190" s="116"/>
      <c r="AN190" s="2"/>
      <c r="AO190" s="2"/>
      <c r="AP190" s="2"/>
      <c r="AQ190" s="2"/>
      <c r="AR190" s="2"/>
      <c r="AS190" s="2"/>
      <c r="AT190" s="2"/>
      <c r="AU190" s="2"/>
      <c r="AV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</row>
    <row r="191" spans="1:98" s="1" customFormat="1" x14ac:dyDescent="0.25">
      <c r="A191" s="5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5"/>
      <c r="Q191" s="4"/>
      <c r="R191" s="5"/>
      <c r="S191" s="4"/>
      <c r="T191" s="5"/>
      <c r="U191" s="5"/>
      <c r="X191" s="116"/>
      <c r="AN191" s="2"/>
      <c r="AO191" s="2"/>
      <c r="AP191" s="2"/>
      <c r="AQ191" s="2"/>
      <c r="AR191" s="2"/>
      <c r="AS191" s="2"/>
      <c r="AT191" s="2"/>
      <c r="AU191" s="2"/>
      <c r="AV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</row>
    <row r="192" spans="1:98" s="1" customFormat="1" x14ac:dyDescent="0.25">
      <c r="A192" s="5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5"/>
      <c r="Q192" s="4"/>
      <c r="R192" s="5"/>
      <c r="S192" s="4"/>
      <c r="T192" s="5"/>
      <c r="U192" s="5"/>
      <c r="X192" s="116"/>
      <c r="AN192" s="2"/>
      <c r="AO192" s="2"/>
      <c r="AP192" s="2"/>
      <c r="AQ192" s="2"/>
      <c r="AR192" s="2"/>
      <c r="AS192" s="2"/>
      <c r="AT192" s="2"/>
      <c r="AU192" s="2"/>
      <c r="AV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</row>
    <row r="193" spans="1:98" s="1" customFormat="1" x14ac:dyDescent="0.25">
      <c r="A193" s="5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5"/>
      <c r="Q193" s="4"/>
      <c r="R193" s="5"/>
      <c r="S193" s="4"/>
      <c r="T193" s="5"/>
      <c r="U193" s="5"/>
      <c r="X193" s="116"/>
      <c r="AN193" s="2"/>
      <c r="AO193" s="2"/>
      <c r="AP193" s="2"/>
      <c r="AQ193" s="2"/>
      <c r="AR193" s="2"/>
      <c r="AS193" s="2"/>
      <c r="AT193" s="2"/>
      <c r="AU193" s="2"/>
      <c r="AV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</row>
    <row r="194" spans="1:98" s="1" customFormat="1" x14ac:dyDescent="0.25">
      <c r="A194" s="5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5"/>
      <c r="Q194" s="4"/>
      <c r="R194" s="5"/>
      <c r="S194" s="4"/>
      <c r="T194" s="5"/>
      <c r="U194" s="5"/>
      <c r="X194" s="116"/>
      <c r="AN194" s="2"/>
      <c r="AO194" s="2"/>
      <c r="AP194" s="2"/>
      <c r="AQ194" s="2"/>
      <c r="AR194" s="2"/>
      <c r="AS194" s="2"/>
      <c r="AT194" s="2"/>
      <c r="AU194" s="2"/>
      <c r="AV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</row>
    <row r="195" spans="1:98" s="1" customFormat="1" x14ac:dyDescent="0.25">
      <c r="A195" s="5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5"/>
      <c r="Q195" s="4"/>
      <c r="R195" s="5"/>
      <c r="S195" s="4"/>
      <c r="T195" s="5"/>
      <c r="U195" s="5"/>
      <c r="X195" s="116"/>
      <c r="AN195" s="2"/>
      <c r="AO195" s="2"/>
      <c r="AP195" s="2"/>
      <c r="AQ195" s="2"/>
      <c r="AR195" s="2"/>
      <c r="AS195" s="2"/>
      <c r="AT195" s="2"/>
      <c r="AU195" s="2"/>
      <c r="AV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</row>
    <row r="196" spans="1:98" s="1" customFormat="1" x14ac:dyDescent="0.25">
      <c r="A196" s="5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5"/>
      <c r="Q196" s="4"/>
      <c r="R196" s="5"/>
      <c r="S196" s="4"/>
      <c r="T196" s="5"/>
      <c r="U196" s="5"/>
      <c r="X196" s="116"/>
      <c r="AN196" s="2"/>
      <c r="AO196" s="2"/>
      <c r="AP196" s="2"/>
      <c r="AQ196" s="2"/>
      <c r="AR196" s="2"/>
      <c r="AS196" s="2"/>
      <c r="AT196" s="2"/>
      <c r="AU196" s="2"/>
      <c r="AV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</row>
    <row r="197" spans="1:98" s="1" customFormat="1" x14ac:dyDescent="0.25">
      <c r="A197" s="5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5"/>
      <c r="Q197" s="4"/>
      <c r="R197" s="5"/>
      <c r="S197" s="4"/>
      <c r="T197" s="5"/>
      <c r="U197" s="5"/>
      <c r="X197" s="116"/>
      <c r="AN197" s="2"/>
      <c r="AO197" s="2"/>
      <c r="AP197" s="2"/>
      <c r="AQ197" s="2"/>
      <c r="AR197" s="2"/>
      <c r="AS197" s="2"/>
      <c r="AT197" s="2"/>
      <c r="AU197" s="2"/>
      <c r="AV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</row>
    <row r="198" spans="1:98" s="1" customFormat="1" x14ac:dyDescent="0.25">
      <c r="A198" s="5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5"/>
      <c r="Q198" s="4"/>
      <c r="R198" s="5"/>
      <c r="S198" s="4"/>
      <c r="T198" s="5"/>
      <c r="U198" s="5"/>
      <c r="X198" s="116"/>
      <c r="AN198" s="2"/>
      <c r="AO198" s="2"/>
      <c r="AP198" s="2"/>
      <c r="AQ198" s="2"/>
      <c r="AR198" s="2"/>
      <c r="AS198" s="2"/>
      <c r="AT198" s="2"/>
      <c r="AU198" s="2"/>
      <c r="AV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</row>
    <row r="199" spans="1:98" s="1" customFormat="1" x14ac:dyDescent="0.25">
      <c r="A199" s="5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5"/>
      <c r="Q199" s="4"/>
      <c r="R199" s="5"/>
      <c r="S199" s="4"/>
      <c r="T199" s="5"/>
      <c r="U199" s="5"/>
      <c r="X199" s="116"/>
      <c r="AN199" s="2"/>
      <c r="AO199" s="2"/>
      <c r="AP199" s="2"/>
      <c r="AQ199" s="2"/>
      <c r="AR199" s="2"/>
      <c r="AS199" s="2"/>
      <c r="AT199" s="2"/>
      <c r="AU199" s="2"/>
      <c r="AV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</row>
    <row r="200" spans="1:98" s="1" customFormat="1" x14ac:dyDescent="0.25">
      <c r="A200" s="5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5"/>
      <c r="Q200" s="4"/>
      <c r="R200" s="5"/>
      <c r="S200" s="4"/>
      <c r="T200" s="5"/>
      <c r="U200" s="5"/>
      <c r="X200" s="116"/>
      <c r="AN200" s="2"/>
      <c r="AO200" s="2"/>
      <c r="AP200" s="2"/>
      <c r="AQ200" s="2"/>
      <c r="AR200" s="2"/>
      <c r="AS200" s="2"/>
      <c r="AT200" s="2"/>
      <c r="AU200" s="2"/>
      <c r="AV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</row>
    <row r="201" spans="1:98" s="1" customFormat="1" x14ac:dyDescent="0.25">
      <c r="A201" s="5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5"/>
      <c r="Q201" s="4"/>
      <c r="R201" s="5"/>
      <c r="S201" s="4"/>
      <c r="T201" s="5"/>
      <c r="U201" s="5"/>
      <c r="X201" s="116"/>
      <c r="AN201" s="2"/>
      <c r="AO201" s="2"/>
      <c r="AP201" s="2"/>
      <c r="AQ201" s="2"/>
      <c r="AR201" s="2"/>
      <c r="AS201" s="2"/>
      <c r="AT201" s="2"/>
      <c r="AU201" s="2"/>
      <c r="AV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</row>
    <row r="202" spans="1:98" s="1" customFormat="1" x14ac:dyDescent="0.25">
      <c r="A202" s="5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5"/>
      <c r="Q202" s="4"/>
      <c r="R202" s="5"/>
      <c r="S202" s="4"/>
      <c r="T202" s="5"/>
      <c r="U202" s="5"/>
      <c r="X202" s="116"/>
      <c r="AN202" s="2"/>
      <c r="AO202" s="2"/>
      <c r="AP202" s="2"/>
      <c r="AQ202" s="2"/>
      <c r="AR202" s="2"/>
      <c r="AS202" s="2"/>
      <c r="AT202" s="2"/>
      <c r="AU202" s="2"/>
      <c r="AV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</row>
    <row r="203" spans="1:98" s="1" customFormat="1" x14ac:dyDescent="0.25">
      <c r="A203" s="5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5"/>
      <c r="Q203" s="4"/>
      <c r="R203" s="5"/>
      <c r="S203" s="4"/>
      <c r="T203" s="5"/>
      <c r="U203" s="5"/>
      <c r="X203" s="116"/>
      <c r="AN203" s="2"/>
      <c r="AO203" s="2"/>
      <c r="AP203" s="2"/>
      <c r="AQ203" s="2"/>
      <c r="AR203" s="2"/>
      <c r="AS203" s="2"/>
      <c r="AT203" s="2"/>
      <c r="AU203" s="2"/>
      <c r="AV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</row>
    <row r="204" spans="1:98" s="1" customFormat="1" x14ac:dyDescent="0.25">
      <c r="A204" s="5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5"/>
      <c r="Q204" s="4"/>
      <c r="R204" s="5"/>
      <c r="S204" s="4"/>
      <c r="T204" s="5"/>
      <c r="U204" s="5"/>
      <c r="X204" s="116"/>
      <c r="AN204" s="2"/>
      <c r="AO204" s="2"/>
      <c r="AP204" s="2"/>
      <c r="AQ204" s="2"/>
      <c r="AR204" s="2"/>
      <c r="AS204" s="2"/>
      <c r="AT204" s="2"/>
      <c r="AU204" s="2"/>
      <c r="AV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</row>
    <row r="205" spans="1:98" s="1" customFormat="1" x14ac:dyDescent="0.25">
      <c r="A205" s="5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5"/>
      <c r="Q205" s="4"/>
      <c r="R205" s="5"/>
      <c r="S205" s="4"/>
      <c r="T205" s="5"/>
      <c r="U205" s="5"/>
      <c r="X205" s="116"/>
      <c r="AN205" s="2"/>
      <c r="AO205" s="2"/>
      <c r="AP205" s="2"/>
      <c r="AQ205" s="2"/>
      <c r="AR205" s="2"/>
      <c r="AS205" s="2"/>
      <c r="AT205" s="2"/>
      <c r="AU205" s="2"/>
      <c r="AV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</row>
    <row r="206" spans="1:98" s="1" customFormat="1" x14ac:dyDescent="0.25">
      <c r="A206" s="5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5"/>
      <c r="Q206" s="4"/>
      <c r="R206" s="5"/>
      <c r="S206" s="4"/>
      <c r="T206" s="5"/>
      <c r="U206" s="5"/>
      <c r="X206" s="116"/>
      <c r="AN206" s="2"/>
      <c r="AO206" s="2"/>
      <c r="AP206" s="2"/>
      <c r="AQ206" s="2"/>
      <c r="AR206" s="2"/>
      <c r="AS206" s="2"/>
      <c r="AT206" s="2"/>
      <c r="AU206" s="2"/>
      <c r="AV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</row>
    <row r="207" spans="1:98" s="1" customFormat="1" x14ac:dyDescent="0.25">
      <c r="A207" s="5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5"/>
      <c r="Q207" s="4"/>
      <c r="R207" s="5"/>
      <c r="S207" s="4"/>
      <c r="T207" s="5"/>
      <c r="U207" s="5"/>
      <c r="X207" s="116"/>
      <c r="AN207" s="2"/>
      <c r="AO207" s="2"/>
      <c r="AP207" s="2"/>
      <c r="AQ207" s="2"/>
      <c r="AR207" s="2"/>
      <c r="AS207" s="2"/>
      <c r="AT207" s="2"/>
      <c r="AU207" s="2"/>
      <c r="AV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</row>
    <row r="208" spans="1:98" s="1" customFormat="1" x14ac:dyDescent="0.25">
      <c r="A208" s="5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5"/>
      <c r="Q208" s="4"/>
      <c r="R208" s="5"/>
      <c r="S208" s="4"/>
      <c r="T208" s="5"/>
      <c r="U208" s="5"/>
      <c r="X208" s="116"/>
      <c r="AN208" s="2"/>
      <c r="AO208" s="2"/>
      <c r="AP208" s="2"/>
      <c r="AQ208" s="2"/>
      <c r="AR208" s="2"/>
      <c r="AS208" s="2"/>
      <c r="AT208" s="2"/>
      <c r="AU208" s="2"/>
      <c r="AV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</row>
    <row r="209" spans="1:98" s="1" customFormat="1" x14ac:dyDescent="0.25">
      <c r="A209" s="5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5"/>
      <c r="Q209" s="4"/>
      <c r="R209" s="5"/>
      <c r="S209" s="4"/>
      <c r="T209" s="5"/>
      <c r="U209" s="5"/>
      <c r="X209" s="116"/>
      <c r="AN209" s="2"/>
      <c r="AO209" s="2"/>
      <c r="AP209" s="2"/>
      <c r="AQ209" s="2"/>
      <c r="AR209" s="2"/>
      <c r="AS209" s="2"/>
      <c r="AT209" s="2"/>
      <c r="AU209" s="2"/>
      <c r="AV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</row>
    <row r="210" spans="1:98" s="1" customFormat="1" x14ac:dyDescent="0.25">
      <c r="A210" s="5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5"/>
      <c r="Q210" s="4"/>
      <c r="R210" s="5"/>
      <c r="S210" s="4"/>
      <c r="T210" s="5"/>
      <c r="U210" s="5"/>
      <c r="X210" s="116"/>
      <c r="AN210" s="2"/>
      <c r="AO210" s="2"/>
      <c r="AP210" s="2"/>
      <c r="AQ210" s="2"/>
      <c r="AR210" s="2"/>
      <c r="AS210" s="2"/>
      <c r="AT210" s="2"/>
      <c r="AU210" s="2"/>
      <c r="AV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</row>
    <row r="211" spans="1:98" s="1" customFormat="1" x14ac:dyDescent="0.25">
      <c r="A211" s="5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5"/>
      <c r="Q211" s="4"/>
      <c r="R211" s="5"/>
      <c r="S211" s="4"/>
      <c r="T211" s="5"/>
      <c r="U211" s="5"/>
      <c r="X211" s="116"/>
      <c r="AN211" s="2"/>
      <c r="AO211" s="2"/>
      <c r="AP211" s="2"/>
      <c r="AQ211" s="2"/>
      <c r="AR211" s="2"/>
      <c r="AS211" s="2"/>
      <c r="AT211" s="2"/>
      <c r="AU211" s="2"/>
      <c r="AV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</row>
    <row r="212" spans="1:98" s="1" customFormat="1" x14ac:dyDescent="0.25">
      <c r="A212" s="5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5"/>
      <c r="Q212" s="4"/>
      <c r="R212" s="5"/>
      <c r="S212" s="4"/>
      <c r="T212" s="5"/>
      <c r="U212" s="5"/>
      <c r="X212" s="116"/>
      <c r="AN212" s="2"/>
      <c r="AO212" s="2"/>
      <c r="AP212" s="2"/>
      <c r="AQ212" s="2"/>
      <c r="AR212" s="2"/>
      <c r="AS212" s="2"/>
      <c r="AT212" s="2"/>
      <c r="AU212" s="2"/>
      <c r="AV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</row>
    <row r="213" spans="1:98" s="1" customFormat="1" x14ac:dyDescent="0.25">
      <c r="A213" s="5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5"/>
      <c r="Q213" s="4"/>
      <c r="R213" s="5"/>
      <c r="S213" s="4"/>
      <c r="T213" s="5"/>
      <c r="U213" s="5"/>
      <c r="X213" s="116"/>
      <c r="AN213" s="2"/>
      <c r="AO213" s="2"/>
      <c r="AP213" s="2"/>
      <c r="AQ213" s="2"/>
      <c r="AR213" s="2"/>
      <c r="AS213" s="2"/>
      <c r="AT213" s="2"/>
      <c r="AU213" s="2"/>
      <c r="AV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</row>
    <row r="214" spans="1:98" s="1" customFormat="1" x14ac:dyDescent="0.25">
      <c r="A214" s="5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5"/>
      <c r="Q214" s="4"/>
      <c r="R214" s="5"/>
      <c r="S214" s="4"/>
      <c r="T214" s="5"/>
      <c r="U214" s="5"/>
      <c r="X214" s="116"/>
      <c r="AN214" s="2"/>
      <c r="AO214" s="2"/>
      <c r="AP214" s="2"/>
      <c r="AQ214" s="2"/>
      <c r="AR214" s="2"/>
      <c r="AS214" s="2"/>
      <c r="AT214" s="2"/>
      <c r="AU214" s="2"/>
      <c r="AV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</row>
    <row r="215" spans="1:98" s="1" customFormat="1" x14ac:dyDescent="0.25">
      <c r="A215" s="5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5"/>
      <c r="Q215" s="4"/>
      <c r="R215" s="5"/>
      <c r="S215" s="4"/>
      <c r="T215" s="5"/>
      <c r="U215" s="5"/>
      <c r="X215" s="116"/>
      <c r="AN215" s="2"/>
      <c r="AO215" s="2"/>
      <c r="AP215" s="2"/>
      <c r="AQ215" s="2"/>
      <c r="AR215" s="2"/>
      <c r="AS215" s="2"/>
      <c r="AT215" s="2"/>
      <c r="AU215" s="2"/>
      <c r="AV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</row>
    <row r="216" spans="1:98" s="1" customFormat="1" x14ac:dyDescent="0.25">
      <c r="A216" s="5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5"/>
      <c r="Q216" s="4"/>
      <c r="R216" s="5"/>
      <c r="S216" s="4"/>
      <c r="T216" s="5"/>
      <c r="U216" s="5"/>
      <c r="X216" s="116"/>
      <c r="AN216" s="2"/>
      <c r="AO216" s="2"/>
      <c r="AP216" s="2"/>
      <c r="AQ216" s="2"/>
      <c r="AR216" s="2"/>
      <c r="AS216" s="2"/>
      <c r="AT216" s="2"/>
      <c r="AU216" s="2"/>
      <c r="AV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</row>
    <row r="217" spans="1:98" s="1" customFormat="1" x14ac:dyDescent="0.25">
      <c r="A217" s="5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5"/>
      <c r="Q217" s="4"/>
      <c r="R217" s="5"/>
      <c r="S217" s="4"/>
      <c r="T217" s="5"/>
      <c r="U217" s="5"/>
      <c r="X217" s="116"/>
      <c r="AN217" s="2"/>
      <c r="AO217" s="2"/>
      <c r="AP217" s="2"/>
      <c r="AQ217" s="2"/>
      <c r="AR217" s="2"/>
      <c r="AS217" s="2"/>
      <c r="AT217" s="2"/>
      <c r="AU217" s="2"/>
      <c r="AV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</row>
    <row r="218" spans="1:98" s="1" customFormat="1" x14ac:dyDescent="0.25">
      <c r="A218" s="5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5"/>
      <c r="Q218" s="4"/>
      <c r="R218" s="5"/>
      <c r="S218" s="4"/>
      <c r="T218" s="5"/>
      <c r="U218" s="5"/>
      <c r="X218" s="116"/>
      <c r="AN218" s="2"/>
      <c r="AO218" s="2"/>
      <c r="AP218" s="2"/>
      <c r="AQ218" s="2"/>
      <c r="AR218" s="2"/>
      <c r="AS218" s="2"/>
      <c r="AT218" s="2"/>
      <c r="AU218" s="2"/>
      <c r="AV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</row>
    <row r="219" spans="1:98" s="1" customFormat="1" x14ac:dyDescent="0.25">
      <c r="A219" s="5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5"/>
      <c r="Q219" s="4"/>
      <c r="R219" s="5"/>
      <c r="S219" s="4"/>
      <c r="T219" s="5"/>
      <c r="U219" s="5"/>
      <c r="X219" s="116"/>
      <c r="AN219" s="2"/>
      <c r="AO219" s="2"/>
      <c r="AP219" s="2"/>
      <c r="AQ219" s="2"/>
      <c r="AR219" s="2"/>
      <c r="AS219" s="2"/>
      <c r="AT219" s="2"/>
      <c r="AU219" s="2"/>
      <c r="AV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</row>
    <row r="220" spans="1:98" s="1" customFormat="1" x14ac:dyDescent="0.25">
      <c r="A220" s="5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5"/>
      <c r="Q220" s="4"/>
      <c r="R220" s="5"/>
      <c r="S220" s="4"/>
      <c r="T220" s="5"/>
      <c r="U220" s="5"/>
      <c r="X220" s="116"/>
      <c r="AN220" s="2"/>
      <c r="AO220" s="2"/>
      <c r="AP220" s="2"/>
      <c r="AQ220" s="2"/>
      <c r="AR220" s="2"/>
      <c r="AS220" s="2"/>
      <c r="AT220" s="2"/>
      <c r="AU220" s="2"/>
      <c r="AV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</row>
    <row r="221" spans="1:98" s="1" customFormat="1" x14ac:dyDescent="0.25">
      <c r="A221" s="5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5"/>
      <c r="Q221" s="4"/>
      <c r="R221" s="5"/>
      <c r="S221" s="4"/>
      <c r="T221" s="5"/>
      <c r="U221" s="5"/>
      <c r="X221" s="116"/>
      <c r="AN221" s="2"/>
      <c r="AO221" s="2"/>
      <c r="AP221" s="2"/>
      <c r="AQ221" s="2"/>
      <c r="AR221" s="2"/>
      <c r="AS221" s="2"/>
      <c r="AT221" s="2"/>
      <c r="AU221" s="2"/>
      <c r="AV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</row>
    <row r="222" spans="1:98" s="1" customFormat="1" x14ac:dyDescent="0.25">
      <c r="A222" s="5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5"/>
      <c r="Q222" s="4"/>
      <c r="R222" s="5"/>
      <c r="S222" s="4"/>
      <c r="T222" s="5"/>
      <c r="U222" s="5"/>
      <c r="X222" s="116"/>
      <c r="AN222" s="2"/>
      <c r="AO222" s="2"/>
      <c r="AP222" s="2"/>
      <c r="AQ222" s="2"/>
      <c r="AR222" s="2"/>
      <c r="AS222" s="2"/>
      <c r="AT222" s="2"/>
      <c r="AU222" s="2"/>
      <c r="AV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</row>
    <row r="223" spans="1:98" s="1" customFormat="1" x14ac:dyDescent="0.25">
      <c r="A223" s="5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5"/>
      <c r="Q223" s="4"/>
      <c r="R223" s="5"/>
      <c r="S223" s="4"/>
      <c r="T223" s="5"/>
      <c r="U223" s="5"/>
      <c r="X223" s="116"/>
      <c r="AN223" s="2"/>
      <c r="AO223" s="2"/>
      <c r="AP223" s="2"/>
      <c r="AQ223" s="2"/>
      <c r="AR223" s="2"/>
      <c r="AS223" s="2"/>
      <c r="AT223" s="2"/>
      <c r="AU223" s="2"/>
      <c r="AV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</row>
    <row r="224" spans="1:98" s="1" customFormat="1" x14ac:dyDescent="0.25">
      <c r="A224" s="5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5"/>
      <c r="Q224" s="4"/>
      <c r="R224" s="5"/>
      <c r="S224" s="4"/>
      <c r="T224" s="5"/>
      <c r="U224" s="5"/>
      <c r="X224" s="116"/>
      <c r="AN224" s="2"/>
      <c r="AO224" s="2"/>
      <c r="AP224" s="2"/>
      <c r="AQ224" s="2"/>
      <c r="AR224" s="2"/>
      <c r="AS224" s="2"/>
      <c r="AT224" s="2"/>
      <c r="AU224" s="2"/>
      <c r="AV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</row>
    <row r="225" spans="1:98" s="1" customFormat="1" x14ac:dyDescent="0.25">
      <c r="A225" s="5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5"/>
      <c r="Q225" s="4"/>
      <c r="R225" s="5"/>
      <c r="S225" s="4"/>
      <c r="T225" s="5"/>
      <c r="U225" s="5"/>
      <c r="X225" s="116"/>
      <c r="AN225" s="2"/>
      <c r="AO225" s="2"/>
      <c r="AP225" s="2"/>
      <c r="AQ225" s="2"/>
      <c r="AR225" s="2"/>
      <c r="AS225" s="2"/>
      <c r="AT225" s="2"/>
      <c r="AU225" s="2"/>
      <c r="AV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</row>
    <row r="226" spans="1:98" s="1" customFormat="1" x14ac:dyDescent="0.25">
      <c r="A226" s="5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5"/>
      <c r="Q226" s="4"/>
      <c r="R226" s="5"/>
      <c r="S226" s="4"/>
      <c r="T226" s="5"/>
      <c r="U226" s="5"/>
      <c r="X226" s="116"/>
      <c r="AN226" s="2"/>
      <c r="AO226" s="2"/>
      <c r="AP226" s="2"/>
      <c r="AQ226" s="2"/>
      <c r="AR226" s="2"/>
      <c r="AS226" s="2"/>
      <c r="AT226" s="2"/>
      <c r="AU226" s="2"/>
      <c r="AV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</row>
    <row r="227" spans="1:98" s="1" customFormat="1" x14ac:dyDescent="0.25">
      <c r="A227" s="5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5"/>
      <c r="Q227" s="4"/>
      <c r="R227" s="5"/>
      <c r="S227" s="4"/>
      <c r="T227" s="5"/>
      <c r="U227" s="5"/>
      <c r="X227" s="116"/>
      <c r="AN227" s="2"/>
      <c r="AO227" s="2"/>
      <c r="AP227" s="2"/>
      <c r="AQ227" s="2"/>
      <c r="AR227" s="2"/>
      <c r="AS227" s="2"/>
      <c r="AT227" s="2"/>
      <c r="AU227" s="2"/>
      <c r="AV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</row>
    <row r="228" spans="1:98" s="1" customFormat="1" x14ac:dyDescent="0.25">
      <c r="A228" s="5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5"/>
      <c r="Q228" s="4"/>
      <c r="R228" s="5"/>
      <c r="S228" s="4"/>
      <c r="T228" s="5"/>
      <c r="U228" s="5"/>
      <c r="X228" s="116"/>
      <c r="AN228" s="2"/>
      <c r="AO228" s="2"/>
      <c r="AP228" s="2"/>
      <c r="AQ228" s="2"/>
      <c r="AR228" s="2"/>
      <c r="AS228" s="2"/>
      <c r="AT228" s="2"/>
      <c r="AU228" s="2"/>
      <c r="AV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</row>
    <row r="229" spans="1:98" s="1" customFormat="1" x14ac:dyDescent="0.25">
      <c r="A229" s="5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5"/>
      <c r="Q229" s="4"/>
      <c r="R229" s="5"/>
      <c r="S229" s="4"/>
      <c r="T229" s="5"/>
      <c r="U229" s="5"/>
      <c r="X229" s="116"/>
      <c r="AN229" s="2"/>
      <c r="AO229" s="2"/>
      <c r="AP229" s="2"/>
      <c r="AQ229" s="2"/>
      <c r="AR229" s="2"/>
      <c r="AS229" s="2"/>
      <c r="AT229" s="2"/>
      <c r="AU229" s="2"/>
      <c r="AV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</row>
    <row r="230" spans="1:98" s="1" customFormat="1" x14ac:dyDescent="0.25">
      <c r="A230" s="5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5"/>
      <c r="Q230" s="4"/>
      <c r="R230" s="5"/>
      <c r="S230" s="4"/>
      <c r="T230" s="5"/>
      <c r="U230" s="5"/>
      <c r="X230" s="116"/>
      <c r="AN230" s="2"/>
      <c r="AO230" s="2"/>
      <c r="AP230" s="2"/>
      <c r="AQ230" s="2"/>
      <c r="AR230" s="2"/>
      <c r="AS230" s="2"/>
      <c r="AT230" s="2"/>
      <c r="AU230" s="2"/>
      <c r="AV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</row>
    <row r="231" spans="1:98" s="1" customFormat="1" x14ac:dyDescent="0.25">
      <c r="A231" s="5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5"/>
      <c r="Q231" s="4"/>
      <c r="R231" s="5"/>
      <c r="S231" s="4"/>
      <c r="T231" s="5"/>
      <c r="U231" s="5"/>
      <c r="X231" s="116"/>
      <c r="AN231" s="2"/>
      <c r="AO231" s="2"/>
      <c r="AP231" s="2"/>
      <c r="AQ231" s="2"/>
      <c r="AR231" s="2"/>
      <c r="AS231" s="2"/>
      <c r="AT231" s="2"/>
      <c r="AU231" s="2"/>
      <c r="AV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</row>
    <row r="232" spans="1:98" s="1" customFormat="1" x14ac:dyDescent="0.25">
      <c r="A232" s="5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5"/>
      <c r="Q232" s="4"/>
      <c r="R232" s="5"/>
      <c r="S232" s="4"/>
      <c r="T232" s="5"/>
      <c r="U232" s="5"/>
      <c r="X232" s="116"/>
      <c r="AN232" s="2"/>
      <c r="AO232" s="2"/>
      <c r="AP232" s="2"/>
      <c r="AQ232" s="2"/>
      <c r="AR232" s="2"/>
      <c r="AS232" s="2"/>
      <c r="AT232" s="2"/>
      <c r="AU232" s="2"/>
      <c r="AV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</row>
    <row r="233" spans="1:98" s="1" customFormat="1" x14ac:dyDescent="0.25">
      <c r="A233" s="5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5"/>
      <c r="Q233" s="4"/>
      <c r="R233" s="5"/>
      <c r="S233" s="4"/>
      <c r="T233" s="5"/>
      <c r="U233" s="5"/>
      <c r="X233" s="116"/>
      <c r="AN233" s="2"/>
      <c r="AO233" s="2"/>
      <c r="AP233" s="2"/>
      <c r="AQ233" s="2"/>
      <c r="AR233" s="2"/>
      <c r="AS233" s="2"/>
      <c r="AT233" s="2"/>
      <c r="AU233" s="2"/>
      <c r="AV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</row>
    <row r="234" spans="1:98" s="1" customFormat="1" x14ac:dyDescent="0.25">
      <c r="A234" s="5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5"/>
      <c r="Q234" s="4"/>
      <c r="R234" s="5"/>
      <c r="S234" s="4"/>
      <c r="T234" s="5"/>
      <c r="U234" s="5"/>
      <c r="X234" s="116"/>
      <c r="AN234" s="2"/>
      <c r="AO234" s="2"/>
      <c r="AP234" s="2"/>
      <c r="AQ234" s="2"/>
      <c r="AR234" s="2"/>
      <c r="AS234" s="2"/>
      <c r="AT234" s="2"/>
      <c r="AU234" s="2"/>
      <c r="AV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</row>
    <row r="235" spans="1:98" s="1" customFormat="1" x14ac:dyDescent="0.25">
      <c r="A235" s="5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5"/>
      <c r="Q235" s="4"/>
      <c r="R235" s="5"/>
      <c r="S235" s="4"/>
      <c r="T235" s="5"/>
      <c r="U235" s="5"/>
      <c r="X235" s="116"/>
      <c r="AN235" s="2"/>
      <c r="AO235" s="2"/>
      <c r="AP235" s="2"/>
      <c r="AQ235" s="2"/>
      <c r="AR235" s="2"/>
      <c r="AS235" s="2"/>
      <c r="AT235" s="2"/>
      <c r="AU235" s="2"/>
      <c r="AV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</row>
    <row r="236" spans="1:98" s="1" customFormat="1" x14ac:dyDescent="0.25">
      <c r="A236" s="5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5"/>
      <c r="Q236" s="4"/>
      <c r="R236" s="5"/>
      <c r="S236" s="4"/>
      <c r="T236" s="5"/>
      <c r="U236" s="5"/>
      <c r="X236" s="116"/>
      <c r="AN236" s="2"/>
      <c r="AO236" s="2"/>
      <c r="AP236" s="2"/>
      <c r="AQ236" s="2"/>
      <c r="AR236" s="2"/>
      <c r="AS236" s="2"/>
      <c r="AT236" s="2"/>
      <c r="AU236" s="2"/>
      <c r="AV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</row>
    <row r="237" spans="1:98" s="1" customFormat="1" x14ac:dyDescent="0.25">
      <c r="A237" s="5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5"/>
      <c r="Q237" s="4"/>
      <c r="R237" s="5"/>
      <c r="S237" s="4"/>
      <c r="T237" s="5"/>
      <c r="U237" s="5"/>
      <c r="X237" s="116"/>
      <c r="AN237" s="2"/>
      <c r="AO237" s="2"/>
      <c r="AP237" s="2"/>
      <c r="AQ237" s="2"/>
      <c r="AR237" s="2"/>
      <c r="AS237" s="2"/>
      <c r="AT237" s="2"/>
      <c r="AU237" s="2"/>
      <c r="AV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</row>
    <row r="238" spans="1:98" s="1" customFormat="1" x14ac:dyDescent="0.25">
      <c r="A238" s="5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5"/>
      <c r="Q238" s="4"/>
      <c r="R238" s="5"/>
      <c r="S238" s="4"/>
      <c r="T238" s="5"/>
      <c r="U238" s="5"/>
      <c r="X238" s="116"/>
      <c r="AN238" s="2"/>
      <c r="AO238" s="2"/>
      <c r="AP238" s="2"/>
      <c r="AQ238" s="2"/>
      <c r="AR238" s="2"/>
      <c r="AS238" s="2"/>
      <c r="AT238" s="2"/>
      <c r="AU238" s="2"/>
      <c r="AV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</row>
    <row r="239" spans="1:98" s="1" customFormat="1" x14ac:dyDescent="0.25">
      <c r="A239" s="5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5"/>
      <c r="Q239" s="4"/>
      <c r="R239" s="5"/>
      <c r="S239" s="4"/>
      <c r="T239" s="5"/>
      <c r="U239" s="5"/>
      <c r="X239" s="116"/>
      <c r="AN239" s="2"/>
      <c r="AO239" s="2"/>
      <c r="AP239" s="2"/>
      <c r="AQ239" s="2"/>
      <c r="AR239" s="2"/>
      <c r="AS239" s="2"/>
      <c r="AT239" s="2"/>
      <c r="AU239" s="2"/>
      <c r="AV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</row>
    <row r="240" spans="1:98" s="1" customFormat="1" x14ac:dyDescent="0.25">
      <c r="A240" s="5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5"/>
      <c r="Q240" s="4"/>
      <c r="R240" s="5"/>
      <c r="S240" s="4"/>
      <c r="T240" s="5"/>
      <c r="U240" s="5"/>
      <c r="X240" s="116"/>
      <c r="AN240" s="2"/>
      <c r="AO240" s="2"/>
      <c r="AP240" s="2"/>
      <c r="AQ240" s="2"/>
      <c r="AR240" s="2"/>
      <c r="AS240" s="2"/>
      <c r="AT240" s="2"/>
      <c r="AU240" s="2"/>
      <c r="AV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</row>
    <row r="241" spans="1:98" s="1" customFormat="1" x14ac:dyDescent="0.25">
      <c r="A241" s="5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5"/>
      <c r="Q241" s="4"/>
      <c r="R241" s="5"/>
      <c r="S241" s="4"/>
      <c r="T241" s="5"/>
      <c r="U241" s="5"/>
      <c r="X241" s="116"/>
      <c r="AN241" s="2"/>
      <c r="AO241" s="2"/>
      <c r="AP241" s="2"/>
      <c r="AQ241" s="2"/>
      <c r="AR241" s="2"/>
      <c r="AS241" s="2"/>
      <c r="AT241" s="2"/>
      <c r="AU241" s="2"/>
      <c r="AV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</row>
    <row r="242" spans="1:98" s="1" customFormat="1" x14ac:dyDescent="0.25">
      <c r="A242" s="5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5"/>
      <c r="Q242" s="4"/>
      <c r="R242" s="5"/>
      <c r="S242" s="4"/>
      <c r="T242" s="5"/>
      <c r="U242" s="5"/>
      <c r="X242" s="116"/>
      <c r="AN242" s="2"/>
      <c r="AO242" s="2"/>
      <c r="AP242" s="2"/>
      <c r="AQ242" s="2"/>
      <c r="AR242" s="2"/>
      <c r="AS242" s="2"/>
      <c r="AT242" s="2"/>
      <c r="AU242" s="2"/>
      <c r="AV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</row>
    <row r="243" spans="1:98" s="1" customFormat="1" x14ac:dyDescent="0.25">
      <c r="A243" s="5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5"/>
      <c r="Q243" s="4"/>
      <c r="R243" s="5"/>
      <c r="S243" s="4"/>
      <c r="T243" s="5"/>
      <c r="U243" s="5"/>
      <c r="X243" s="116"/>
      <c r="AN243" s="2"/>
      <c r="AO243" s="2"/>
      <c r="AP243" s="2"/>
      <c r="AQ243" s="2"/>
      <c r="AR243" s="2"/>
      <c r="AS243" s="2"/>
      <c r="AT243" s="2"/>
      <c r="AU243" s="2"/>
      <c r="AV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</row>
    <row r="244" spans="1:98" s="1" customFormat="1" x14ac:dyDescent="0.25">
      <c r="A244" s="5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5"/>
      <c r="Q244" s="4"/>
      <c r="R244" s="5"/>
      <c r="S244" s="4"/>
      <c r="T244" s="5"/>
      <c r="U244" s="5"/>
      <c r="X244" s="116"/>
      <c r="AN244" s="2"/>
      <c r="AO244" s="2"/>
      <c r="AP244" s="2"/>
      <c r="AQ244" s="2"/>
      <c r="AR244" s="2"/>
      <c r="AS244" s="2"/>
      <c r="AT244" s="2"/>
      <c r="AU244" s="2"/>
      <c r="AV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</row>
    <row r="245" spans="1:98" s="1" customFormat="1" x14ac:dyDescent="0.25">
      <c r="A245" s="5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5"/>
      <c r="Q245" s="4"/>
      <c r="R245" s="5"/>
      <c r="S245" s="4"/>
      <c r="T245" s="5"/>
      <c r="U245" s="5"/>
      <c r="X245" s="116"/>
      <c r="AN245" s="2"/>
      <c r="AO245" s="2"/>
      <c r="AP245" s="2"/>
      <c r="AQ245" s="2"/>
      <c r="AR245" s="2"/>
      <c r="AS245" s="2"/>
      <c r="AT245" s="2"/>
      <c r="AU245" s="2"/>
      <c r="AV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</row>
    <row r="246" spans="1:98" s="1" customFormat="1" x14ac:dyDescent="0.25">
      <c r="A246" s="5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5"/>
      <c r="Q246" s="4"/>
      <c r="R246" s="5"/>
      <c r="S246" s="4"/>
      <c r="T246" s="5"/>
      <c r="U246" s="5"/>
      <c r="X246" s="116"/>
      <c r="AN246" s="2"/>
      <c r="AO246" s="2"/>
      <c r="AP246" s="2"/>
      <c r="AQ246" s="2"/>
      <c r="AR246" s="2"/>
      <c r="AS246" s="2"/>
      <c r="AT246" s="2"/>
      <c r="AU246" s="2"/>
      <c r="AV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</row>
    <row r="247" spans="1:98" s="1" customFormat="1" x14ac:dyDescent="0.25">
      <c r="A247" s="5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5"/>
      <c r="Q247" s="4"/>
      <c r="R247" s="5"/>
      <c r="S247" s="4"/>
      <c r="T247" s="5"/>
      <c r="U247" s="5"/>
      <c r="X247" s="116"/>
      <c r="AN247" s="2"/>
      <c r="AO247" s="2"/>
      <c r="AP247" s="2"/>
      <c r="AQ247" s="2"/>
      <c r="AR247" s="2"/>
      <c r="AS247" s="2"/>
      <c r="AT247" s="2"/>
      <c r="AU247" s="2"/>
      <c r="AV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</row>
    <row r="248" spans="1:98" s="1" customFormat="1" x14ac:dyDescent="0.25">
      <c r="A248" s="5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5"/>
      <c r="Q248" s="4"/>
      <c r="R248" s="5"/>
      <c r="S248" s="4"/>
      <c r="T248" s="5"/>
      <c r="U248" s="5"/>
      <c r="X248" s="116"/>
      <c r="AN248" s="2"/>
      <c r="AO248" s="2"/>
      <c r="AP248" s="2"/>
      <c r="AQ248" s="2"/>
      <c r="AR248" s="2"/>
      <c r="AS248" s="2"/>
      <c r="AT248" s="2"/>
      <c r="AU248" s="2"/>
      <c r="AV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</row>
    <row r="249" spans="1:98" s="1" customFormat="1" x14ac:dyDescent="0.25">
      <c r="A249" s="5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5"/>
      <c r="Q249" s="4"/>
      <c r="R249" s="5"/>
      <c r="S249" s="4"/>
      <c r="T249" s="5"/>
      <c r="U249" s="5"/>
      <c r="X249" s="116"/>
      <c r="AN249" s="2"/>
      <c r="AO249" s="2"/>
      <c r="AP249" s="2"/>
      <c r="AQ249" s="2"/>
      <c r="AR249" s="2"/>
      <c r="AS249" s="2"/>
      <c r="AT249" s="2"/>
      <c r="AU249" s="2"/>
      <c r="AV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</row>
    <row r="250" spans="1:98" s="1" customFormat="1" x14ac:dyDescent="0.25">
      <c r="A250" s="5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5"/>
      <c r="Q250" s="4"/>
      <c r="R250" s="5"/>
      <c r="S250" s="4"/>
      <c r="T250" s="5"/>
      <c r="U250" s="5"/>
      <c r="X250" s="116"/>
      <c r="AN250" s="2"/>
      <c r="AO250" s="2"/>
      <c r="AP250" s="2"/>
      <c r="AQ250" s="2"/>
      <c r="AR250" s="2"/>
      <c r="AS250" s="2"/>
      <c r="AT250" s="2"/>
      <c r="AU250" s="2"/>
      <c r="AV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</row>
    <row r="251" spans="1:98" s="1" customFormat="1" x14ac:dyDescent="0.25">
      <c r="A251" s="5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5"/>
      <c r="Q251" s="4"/>
      <c r="R251" s="5"/>
      <c r="S251" s="4"/>
      <c r="T251" s="5"/>
      <c r="U251" s="5"/>
      <c r="X251" s="116"/>
      <c r="AN251" s="2"/>
      <c r="AO251" s="2"/>
      <c r="AP251" s="2"/>
      <c r="AQ251" s="2"/>
      <c r="AR251" s="2"/>
      <c r="AS251" s="2"/>
      <c r="AT251" s="2"/>
      <c r="AU251" s="2"/>
      <c r="AV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</row>
    <row r="252" spans="1:98" s="1" customFormat="1" x14ac:dyDescent="0.25">
      <c r="A252" s="5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5"/>
      <c r="Q252" s="4"/>
      <c r="R252" s="5"/>
      <c r="S252" s="4"/>
      <c r="T252" s="5"/>
      <c r="U252" s="5"/>
      <c r="X252" s="116"/>
      <c r="AN252" s="2"/>
      <c r="AO252" s="2"/>
      <c r="AP252" s="2"/>
      <c r="AQ252" s="2"/>
      <c r="AR252" s="2"/>
      <c r="AS252" s="2"/>
      <c r="AT252" s="2"/>
      <c r="AU252" s="2"/>
      <c r="AV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</row>
    <row r="253" spans="1:98" s="1" customFormat="1" x14ac:dyDescent="0.25">
      <c r="A253" s="5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5"/>
      <c r="Q253" s="4"/>
      <c r="R253" s="5"/>
      <c r="S253" s="4"/>
      <c r="T253" s="5"/>
      <c r="U253" s="5"/>
      <c r="X253" s="116"/>
      <c r="AN253" s="2"/>
      <c r="AO253" s="2"/>
      <c r="AP253" s="2"/>
      <c r="AQ253" s="2"/>
      <c r="AR253" s="2"/>
      <c r="AS253" s="2"/>
      <c r="AT253" s="2"/>
      <c r="AU253" s="2"/>
      <c r="AV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</row>
    <row r="254" spans="1:98" s="1" customFormat="1" x14ac:dyDescent="0.25">
      <c r="A254" s="5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5"/>
      <c r="Q254" s="4"/>
      <c r="R254" s="5"/>
      <c r="S254" s="4"/>
      <c r="T254" s="5"/>
      <c r="U254" s="5"/>
      <c r="X254" s="116"/>
      <c r="AN254" s="2"/>
      <c r="AO254" s="2"/>
      <c r="AP254" s="2"/>
      <c r="AQ254" s="2"/>
      <c r="AR254" s="2"/>
      <c r="AS254" s="2"/>
      <c r="AT254" s="2"/>
      <c r="AU254" s="2"/>
      <c r="AV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</row>
    <row r="255" spans="1:98" s="1" customFormat="1" x14ac:dyDescent="0.25">
      <c r="A255" s="5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5"/>
      <c r="Q255" s="4"/>
      <c r="R255" s="5"/>
      <c r="S255" s="4"/>
      <c r="T255" s="5"/>
      <c r="U255" s="5"/>
      <c r="X255" s="116"/>
      <c r="AN255" s="2"/>
      <c r="AO255" s="2"/>
      <c r="AP255" s="2"/>
      <c r="AQ255" s="2"/>
      <c r="AR255" s="2"/>
      <c r="AS255" s="2"/>
      <c r="AT255" s="2"/>
      <c r="AU255" s="2"/>
      <c r="AV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</row>
    <row r="256" spans="1:98" s="1" customFormat="1" x14ac:dyDescent="0.25">
      <c r="A256" s="5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5"/>
      <c r="Q256" s="4"/>
      <c r="R256" s="5"/>
      <c r="S256" s="4"/>
      <c r="T256" s="5"/>
      <c r="U256" s="5"/>
      <c r="X256" s="116"/>
      <c r="AN256" s="2"/>
      <c r="AO256" s="2"/>
      <c r="AP256" s="2"/>
      <c r="AQ256" s="2"/>
      <c r="AR256" s="2"/>
      <c r="AS256" s="2"/>
      <c r="AT256" s="2"/>
      <c r="AU256" s="2"/>
      <c r="AV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</row>
    <row r="257" spans="1:98" s="1" customFormat="1" x14ac:dyDescent="0.25">
      <c r="A257" s="5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5"/>
      <c r="Q257" s="4"/>
      <c r="R257" s="5"/>
      <c r="S257" s="4"/>
      <c r="T257" s="5"/>
      <c r="U257" s="5"/>
      <c r="X257" s="116"/>
      <c r="AN257" s="2"/>
      <c r="AO257" s="2"/>
      <c r="AP257" s="2"/>
      <c r="AQ257" s="2"/>
      <c r="AR257" s="2"/>
      <c r="AS257" s="2"/>
      <c r="AT257" s="2"/>
      <c r="AU257" s="2"/>
      <c r="AV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</row>
    <row r="258" spans="1:98" s="1" customFormat="1" x14ac:dyDescent="0.25">
      <c r="A258" s="5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5"/>
      <c r="Q258" s="4"/>
      <c r="R258" s="5"/>
      <c r="S258" s="4"/>
      <c r="T258" s="5"/>
      <c r="U258" s="5"/>
      <c r="X258" s="116"/>
      <c r="AN258" s="2"/>
      <c r="AO258" s="2"/>
      <c r="AP258" s="2"/>
      <c r="AQ258" s="2"/>
      <c r="AR258" s="2"/>
      <c r="AS258" s="2"/>
      <c r="AT258" s="2"/>
      <c r="AU258" s="2"/>
      <c r="AV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</row>
    <row r="259" spans="1:98" s="1" customFormat="1" x14ac:dyDescent="0.25">
      <c r="A259" s="5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5"/>
      <c r="Q259" s="4"/>
      <c r="R259" s="5"/>
      <c r="S259" s="4"/>
      <c r="T259" s="5"/>
      <c r="U259" s="5"/>
      <c r="X259" s="116"/>
      <c r="AN259" s="2"/>
      <c r="AO259" s="2"/>
      <c r="AP259" s="2"/>
      <c r="AQ259" s="2"/>
      <c r="AR259" s="2"/>
      <c r="AS259" s="2"/>
      <c r="AT259" s="2"/>
      <c r="AU259" s="2"/>
      <c r="AV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</row>
    <row r="260" spans="1:98" s="1" customFormat="1" x14ac:dyDescent="0.25">
      <c r="A260" s="5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5"/>
      <c r="Q260" s="4"/>
      <c r="R260" s="5"/>
      <c r="S260" s="4"/>
      <c r="T260" s="5"/>
      <c r="U260" s="5"/>
      <c r="X260" s="116"/>
      <c r="AN260" s="2"/>
      <c r="AO260" s="2"/>
      <c r="AP260" s="2"/>
      <c r="AQ260" s="2"/>
      <c r="AR260" s="2"/>
      <c r="AS260" s="2"/>
      <c r="AT260" s="2"/>
      <c r="AU260" s="2"/>
      <c r="AV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</row>
    <row r="261" spans="1:98" s="1" customFormat="1" x14ac:dyDescent="0.25">
      <c r="A261" s="5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5"/>
      <c r="Q261" s="4"/>
      <c r="R261" s="5"/>
      <c r="S261" s="4"/>
      <c r="T261" s="5"/>
      <c r="U261" s="5"/>
      <c r="X261" s="116"/>
      <c r="AN261" s="2"/>
      <c r="AO261" s="2"/>
      <c r="AP261" s="2"/>
      <c r="AQ261" s="2"/>
      <c r="AR261" s="2"/>
      <c r="AS261" s="2"/>
      <c r="AT261" s="2"/>
      <c r="AU261" s="2"/>
      <c r="AV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</row>
    <row r="262" spans="1:98" s="1" customFormat="1" x14ac:dyDescent="0.25">
      <c r="A262" s="5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5"/>
      <c r="Q262" s="4"/>
      <c r="R262" s="5"/>
      <c r="S262" s="4"/>
      <c r="T262" s="5"/>
      <c r="U262" s="5"/>
      <c r="X262" s="116"/>
      <c r="AN262" s="2"/>
      <c r="AO262" s="2"/>
      <c r="AP262" s="2"/>
      <c r="AQ262" s="2"/>
      <c r="AR262" s="2"/>
      <c r="AS262" s="2"/>
      <c r="AT262" s="2"/>
      <c r="AU262" s="2"/>
      <c r="AV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</row>
    <row r="263" spans="1:98" s="1" customFormat="1" x14ac:dyDescent="0.25">
      <c r="A263" s="5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5"/>
      <c r="Q263" s="4"/>
      <c r="R263" s="5"/>
      <c r="S263" s="4"/>
      <c r="T263" s="5"/>
      <c r="U263" s="5"/>
      <c r="X263" s="116"/>
      <c r="AN263" s="2"/>
      <c r="AO263" s="2"/>
      <c r="AP263" s="2"/>
      <c r="AQ263" s="2"/>
      <c r="AR263" s="2"/>
      <c r="AS263" s="2"/>
      <c r="AT263" s="2"/>
      <c r="AU263" s="2"/>
      <c r="AV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</row>
    <row r="264" spans="1:98" s="1" customFormat="1" x14ac:dyDescent="0.25">
      <c r="A264" s="5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5"/>
      <c r="Q264" s="4"/>
      <c r="R264" s="5"/>
      <c r="S264" s="4"/>
      <c r="T264" s="5"/>
      <c r="U264" s="5"/>
      <c r="X264" s="116"/>
      <c r="AN264" s="2"/>
      <c r="AO264" s="2"/>
      <c r="AP264" s="2"/>
      <c r="AQ264" s="2"/>
      <c r="AR264" s="2"/>
      <c r="AS264" s="2"/>
      <c r="AT264" s="2"/>
      <c r="AU264" s="2"/>
      <c r="AV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</row>
    <row r="265" spans="1:98" s="1" customFormat="1" x14ac:dyDescent="0.25">
      <c r="A265" s="5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5"/>
      <c r="Q265" s="4"/>
      <c r="R265" s="5"/>
      <c r="S265" s="4"/>
      <c r="T265" s="5"/>
      <c r="U265" s="5"/>
      <c r="X265" s="116"/>
      <c r="AN265" s="2"/>
      <c r="AO265" s="2"/>
      <c r="AP265" s="2"/>
      <c r="AQ265" s="2"/>
      <c r="AR265" s="2"/>
      <c r="AS265" s="2"/>
      <c r="AT265" s="2"/>
      <c r="AU265" s="2"/>
      <c r="AV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</row>
    <row r="266" spans="1:98" s="1" customFormat="1" x14ac:dyDescent="0.25">
      <c r="A266" s="5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5"/>
      <c r="Q266" s="4"/>
      <c r="R266" s="5"/>
      <c r="S266" s="4"/>
      <c r="T266" s="5"/>
      <c r="U266" s="5"/>
      <c r="X266" s="116"/>
      <c r="AN266" s="2"/>
      <c r="AO266" s="2"/>
      <c r="AP266" s="2"/>
      <c r="AQ266" s="2"/>
      <c r="AR266" s="2"/>
      <c r="AS266" s="2"/>
      <c r="AT266" s="2"/>
      <c r="AU266" s="2"/>
      <c r="AV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</row>
    <row r="267" spans="1:98" s="1" customFormat="1" x14ac:dyDescent="0.25">
      <c r="A267" s="5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5"/>
      <c r="Q267" s="4"/>
      <c r="R267" s="5"/>
      <c r="S267" s="4"/>
      <c r="T267" s="5"/>
      <c r="U267" s="5"/>
      <c r="X267" s="116"/>
      <c r="AN267" s="2"/>
      <c r="AO267" s="2"/>
      <c r="AP267" s="2"/>
      <c r="AQ267" s="2"/>
      <c r="AR267" s="2"/>
      <c r="AS267" s="2"/>
      <c r="AT267" s="2"/>
      <c r="AU267" s="2"/>
      <c r="AV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</row>
    <row r="268" spans="1:98" s="1" customFormat="1" x14ac:dyDescent="0.25">
      <c r="A268" s="5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5"/>
      <c r="Q268" s="4"/>
      <c r="R268" s="5"/>
      <c r="S268" s="4"/>
      <c r="T268" s="5"/>
      <c r="U268" s="5"/>
      <c r="X268" s="116"/>
      <c r="AN268" s="2"/>
      <c r="AO268" s="2"/>
      <c r="AP268" s="2"/>
      <c r="AQ268" s="2"/>
      <c r="AR268" s="2"/>
      <c r="AS268" s="2"/>
      <c r="AT268" s="2"/>
      <c r="AU268" s="2"/>
      <c r="AV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</row>
  </sheetData>
  <mergeCells count="10">
    <mergeCell ref="A1:U1"/>
    <mergeCell ref="AD3:AM3"/>
    <mergeCell ref="N57:U57"/>
    <mergeCell ref="C57:J57"/>
    <mergeCell ref="N54:U54"/>
    <mergeCell ref="C2:H2"/>
    <mergeCell ref="A2:B2"/>
    <mergeCell ref="S2:U2"/>
    <mergeCell ref="S3:U3"/>
    <mergeCell ref="D54:G54"/>
  </mergeCells>
  <phoneticPr fontId="0" type="noConversion"/>
  <printOptions horizontalCentered="1"/>
  <pageMargins left="0.5" right="0.3" top="0.5" bottom="0.3" header="0.5" footer="0.5"/>
  <pageSetup scale="61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 1</vt:lpstr>
      <vt:lpstr>'Day 1'!Print_Area</vt:lpstr>
    </vt:vector>
  </TitlesOfParts>
  <Company>Tecknowledgy Applications International,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24 - Hr. Volume</dc:title>
  <dc:creator>Field Data Services of Arizona, Inc.</dc:creator>
  <cp:lastModifiedBy>Sharon</cp:lastModifiedBy>
  <cp:lastPrinted>2008-01-14T17:41:57Z</cp:lastPrinted>
  <dcterms:created xsi:type="dcterms:W3CDTF">2002-07-21T16:39:50Z</dcterms:created>
  <dcterms:modified xsi:type="dcterms:W3CDTF">2016-12-19T21:02:30Z</dcterms:modified>
</cp:coreProperties>
</file>